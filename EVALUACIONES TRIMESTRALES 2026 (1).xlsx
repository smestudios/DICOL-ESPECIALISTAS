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3562" documentId="11_9248B46DC1CBB2E3ED7FF6F9903E8C1851038383" xr6:coauthVersionLast="47" xr6:coauthVersionMax="47" xr10:uidLastSave="{ECD675EF-2180-4B44-927A-F983EDC2FD76}"/>
  <bookViews>
    <workbookView xWindow="240" yWindow="105" windowWidth="14805" windowHeight="8010" firstSheet="3" activeTab="3" xr2:uid="{00000000-000D-0000-FFFF-FFFF00000000}"/>
  </bookViews>
  <sheets>
    <sheet name="Q4 2025" sheetId="5" r:id="rId1"/>
    <sheet name="Q1 2026" sheetId="3" r:id="rId2"/>
    <sheet name="Q2 2026" sheetId="7" r:id="rId3"/>
    <sheet name="Q3 2026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8" l="1"/>
  <c r="Z20" i="8"/>
  <c r="Z10" i="8"/>
  <c r="Z16" i="8"/>
  <c r="AC6" i="8"/>
  <c r="AC4" i="8"/>
  <c r="Z11" i="8"/>
  <c r="AD10" i="8"/>
  <c r="T26" i="8"/>
  <c r="U26" i="8"/>
  <c r="V26" i="8"/>
  <c r="S26" i="8"/>
  <c r="Z13" i="8"/>
  <c r="Z12" i="8"/>
  <c r="Z15" i="8"/>
  <c r="AL16" i="8"/>
  <c r="AD5" i="8"/>
  <c r="AD11" i="8"/>
  <c r="AD21" i="8"/>
  <c r="AD22" i="8"/>
  <c r="AD16" i="8"/>
  <c r="AN5" i="8"/>
  <c r="AL17" i="8"/>
  <c r="AL18" i="8"/>
  <c r="AL19" i="8"/>
  <c r="AL20" i="8"/>
  <c r="AL21" i="8"/>
  <c r="AL22" i="8"/>
  <c r="AL23" i="8"/>
  <c r="AL24" i="8"/>
  <c r="AL25" i="8"/>
  <c r="AL6" i="8"/>
  <c r="AL7" i="8"/>
  <c r="AL8" i="8"/>
  <c r="AL9" i="8"/>
  <c r="AL10" i="8"/>
  <c r="AL11" i="8"/>
  <c r="AL12" i="8"/>
  <c r="AL13" i="8"/>
  <c r="AL14" i="8"/>
  <c r="AL15" i="8"/>
  <c r="AL5" i="8"/>
  <c r="AK17" i="8"/>
  <c r="AK18" i="8"/>
  <c r="AK19" i="8"/>
  <c r="AK20" i="8"/>
  <c r="AK21" i="8"/>
  <c r="AK22" i="8"/>
  <c r="AK23" i="8"/>
  <c r="AK24" i="8"/>
  <c r="AK25" i="8"/>
  <c r="AK16" i="8"/>
  <c r="AK6" i="8"/>
  <c r="AK7" i="8"/>
  <c r="AK8" i="8"/>
  <c r="AK9" i="8"/>
  <c r="AK10" i="8"/>
  <c r="AK11" i="8"/>
  <c r="AK12" i="8"/>
  <c r="AK13" i="8"/>
  <c r="AK14" i="8"/>
  <c r="AK15" i="8"/>
  <c r="AK5" i="8"/>
  <c r="AN15" i="8"/>
  <c r="AJ15" i="8"/>
  <c r="AH15" i="8"/>
  <c r="AF15" i="8"/>
  <c r="AP15" i="8" s="1"/>
  <c r="AC17" i="8"/>
  <c r="AM17" i="8" s="1"/>
  <c r="AC18" i="8"/>
  <c r="AM18" i="8" s="1"/>
  <c r="AC19" i="8"/>
  <c r="AM19" i="8" s="1"/>
  <c r="AC20" i="8"/>
  <c r="AM20" i="8" s="1"/>
  <c r="AC21" i="8"/>
  <c r="AM21" i="8" s="1"/>
  <c r="AC22" i="8"/>
  <c r="AM22" i="8" s="1"/>
  <c r="AC23" i="8"/>
  <c r="AM23" i="8" s="1"/>
  <c r="AC24" i="8"/>
  <c r="AM24" i="8" s="1"/>
  <c r="AC25" i="8"/>
  <c r="AM25" i="8" s="1"/>
  <c r="AC16" i="8"/>
  <c r="AM16" i="8" s="1"/>
  <c r="AC7" i="8"/>
  <c r="AC8" i="8"/>
  <c r="AM8" i="8" s="1"/>
  <c r="AC9" i="8"/>
  <c r="AM9" i="8" s="1"/>
  <c r="AC10" i="8"/>
  <c r="AM10" i="8" s="1"/>
  <c r="AC11" i="8"/>
  <c r="AM11" i="8" s="1"/>
  <c r="AC12" i="8"/>
  <c r="AM12" i="8" s="1"/>
  <c r="AC13" i="8"/>
  <c r="AM13" i="8" s="1"/>
  <c r="AC14" i="8"/>
  <c r="AM14" i="8" s="1"/>
  <c r="AC15" i="8"/>
  <c r="AC5" i="8"/>
  <c r="AN17" i="8"/>
  <c r="AN18" i="8"/>
  <c r="AN19" i="8"/>
  <c r="AN21" i="8"/>
  <c r="AN22" i="8"/>
  <c r="AN23" i="8"/>
  <c r="AN24" i="8"/>
  <c r="AN25" i="8"/>
  <c r="AN16" i="8"/>
  <c r="AN6" i="8"/>
  <c r="AN7" i="8"/>
  <c r="AN8" i="8"/>
  <c r="AN9" i="8"/>
  <c r="AN10" i="8"/>
  <c r="AN11" i="8"/>
  <c r="AN12" i="8"/>
  <c r="AN13" i="8"/>
  <c r="AN14" i="8"/>
  <c r="AJ5" i="8"/>
  <c r="AJ16" i="8"/>
  <c r="AJ6" i="8"/>
  <c r="AJ7" i="8"/>
  <c r="AJ8" i="8"/>
  <c r="AJ9" i="8"/>
  <c r="AJ10" i="8"/>
  <c r="AJ11" i="8"/>
  <c r="AJ12" i="8"/>
  <c r="AJ13" i="8"/>
  <c r="AJ14" i="8"/>
  <c r="AH17" i="8"/>
  <c r="AH18" i="8"/>
  <c r="AH19" i="8"/>
  <c r="AH20" i="8"/>
  <c r="AH21" i="8"/>
  <c r="AH22" i="8"/>
  <c r="AH23" i="8"/>
  <c r="AH24" i="8"/>
  <c r="AH25" i="8"/>
  <c r="AH16" i="8"/>
  <c r="AH6" i="8"/>
  <c r="AH7" i="8"/>
  <c r="AH8" i="8"/>
  <c r="AH9" i="8"/>
  <c r="AH10" i="8"/>
  <c r="AH11" i="8"/>
  <c r="AH12" i="8"/>
  <c r="AH13" i="8"/>
  <c r="AH14" i="8"/>
  <c r="AH5" i="8"/>
  <c r="AF17" i="8"/>
  <c r="AF18" i="8"/>
  <c r="AF19" i="8"/>
  <c r="AF20" i="8"/>
  <c r="AF21" i="8"/>
  <c r="AF22" i="8"/>
  <c r="AF23" i="8"/>
  <c r="AF24" i="8"/>
  <c r="AF25" i="8"/>
  <c r="AF16" i="8"/>
  <c r="AF6" i="8"/>
  <c r="AF7" i="8"/>
  <c r="AF8" i="8"/>
  <c r="AF9" i="8"/>
  <c r="AF10" i="8"/>
  <c r="AF11" i="8"/>
  <c r="AF12" i="8"/>
  <c r="AF13" i="8"/>
  <c r="AF14" i="8"/>
  <c r="AF5" i="8"/>
  <c r="AP45" i="7"/>
  <c r="AP46" i="7"/>
  <c r="AP47" i="7"/>
  <c r="AP48" i="7"/>
  <c r="AP49" i="7"/>
  <c r="AP50" i="7"/>
  <c r="AP51" i="7"/>
  <c r="AP52" i="7"/>
  <c r="AP53" i="7"/>
  <c r="AP44" i="7"/>
  <c r="AP35" i="7"/>
  <c r="AP36" i="7"/>
  <c r="AP37" i="7"/>
  <c r="AP38" i="7"/>
  <c r="AP39" i="7"/>
  <c r="AP40" i="7"/>
  <c r="AP41" i="7"/>
  <c r="AP42" i="7"/>
  <c r="AP43" i="7"/>
  <c r="AP34" i="7"/>
  <c r="AM53" i="7"/>
  <c r="AK53" i="7"/>
  <c r="AJ53" i="7"/>
  <c r="AI53" i="7"/>
  <c r="AG53" i="7"/>
  <c r="AE53" i="7"/>
  <c r="AB53" i="7"/>
  <c r="AK52" i="7"/>
  <c r="AI52" i="7"/>
  <c r="AG52" i="7"/>
  <c r="AE52" i="7"/>
  <c r="AC52" i="7"/>
  <c r="AJ52" i="7" s="1"/>
  <c r="AB52" i="7"/>
  <c r="AN51" i="7"/>
  <c r="AM51" i="7"/>
  <c r="AK51" i="7"/>
  <c r="AJ51" i="7"/>
  <c r="AI51" i="7"/>
  <c r="AG51" i="7"/>
  <c r="AE51" i="7"/>
  <c r="AB51" i="7"/>
  <c r="AM50" i="7"/>
  <c r="AK50" i="7"/>
  <c r="AJ50" i="7"/>
  <c r="AI50" i="7"/>
  <c r="AG50" i="7"/>
  <c r="AE50" i="7"/>
  <c r="AB50" i="7"/>
  <c r="AM49" i="7"/>
  <c r="AK49" i="7"/>
  <c r="AJ49" i="7"/>
  <c r="AI49" i="7"/>
  <c r="AG49" i="7"/>
  <c r="AE49" i="7"/>
  <c r="AB49" i="7"/>
  <c r="AM48" i="7"/>
  <c r="AJ48" i="7"/>
  <c r="AI48" i="7"/>
  <c r="AG48" i="7"/>
  <c r="AE48" i="7"/>
  <c r="AB48" i="7"/>
  <c r="Y48" i="7"/>
  <c r="AK48" i="7" s="1"/>
  <c r="AM47" i="7"/>
  <c r="AK47" i="7"/>
  <c r="AI47" i="7"/>
  <c r="AG47" i="7"/>
  <c r="AE47" i="7"/>
  <c r="AC47" i="7"/>
  <c r="AJ47" i="7" s="1"/>
  <c r="AB47" i="7"/>
  <c r="AM46" i="7"/>
  <c r="AK46" i="7"/>
  <c r="AI46" i="7"/>
  <c r="AG46" i="7"/>
  <c r="AE46" i="7"/>
  <c r="AC46" i="7"/>
  <c r="AJ46" i="7" s="1"/>
  <c r="AB46" i="7"/>
  <c r="AM45" i="7"/>
  <c r="AK45" i="7"/>
  <c r="AJ45" i="7"/>
  <c r="AI45" i="7"/>
  <c r="AG45" i="7"/>
  <c r="AE45" i="7"/>
  <c r="AB45" i="7"/>
  <c r="AM44" i="7"/>
  <c r="AK44" i="7"/>
  <c r="AI44" i="7"/>
  <c r="AG44" i="7"/>
  <c r="AE44" i="7"/>
  <c r="AC44" i="7"/>
  <c r="AJ44" i="7" s="1"/>
  <c r="AB44" i="7"/>
  <c r="AN43" i="7"/>
  <c r="AM43" i="7"/>
  <c r="AK43" i="7"/>
  <c r="AJ43" i="7"/>
  <c r="AI43" i="7"/>
  <c r="AG43" i="7"/>
  <c r="AE43" i="7"/>
  <c r="AB43" i="7"/>
  <c r="AM42" i="7"/>
  <c r="AI42" i="7"/>
  <c r="AG42" i="7"/>
  <c r="AE42" i="7"/>
  <c r="AC42" i="7"/>
  <c r="AJ42" i="7" s="1"/>
  <c r="AB42" i="7"/>
  <c r="Y42" i="7"/>
  <c r="AK42" i="7" s="1"/>
  <c r="AN41" i="7"/>
  <c r="AM41" i="7"/>
  <c r="AJ41" i="7"/>
  <c r="AI41" i="7"/>
  <c r="AG41" i="7"/>
  <c r="AE41" i="7"/>
  <c r="AB41" i="7"/>
  <c r="Y41" i="7"/>
  <c r="AK41" i="7" s="1"/>
  <c r="AM40" i="7"/>
  <c r="AJ40" i="7"/>
  <c r="AI40" i="7"/>
  <c r="AG40" i="7"/>
  <c r="AE40" i="7"/>
  <c r="AB40" i="7"/>
  <c r="Y40" i="7"/>
  <c r="AK40" i="7" s="1"/>
  <c r="AM39" i="7"/>
  <c r="AJ39" i="7"/>
  <c r="AI39" i="7"/>
  <c r="AG39" i="7"/>
  <c r="AE39" i="7"/>
  <c r="AB39" i="7"/>
  <c r="Y39" i="7"/>
  <c r="AK39" i="7" s="1"/>
  <c r="AM38" i="7"/>
  <c r="AJ38" i="7"/>
  <c r="AI38" i="7"/>
  <c r="AG38" i="7"/>
  <c r="AE38" i="7"/>
  <c r="AB38" i="7"/>
  <c r="Y38" i="7"/>
  <c r="AK38" i="7" s="1"/>
  <c r="AN37" i="7"/>
  <c r="AM37" i="7"/>
  <c r="AJ37" i="7"/>
  <c r="AI37" i="7"/>
  <c r="AG37" i="7"/>
  <c r="AE37" i="7"/>
  <c r="AB37" i="7"/>
  <c r="Y37" i="7"/>
  <c r="AK37" i="7" s="1"/>
  <c r="AN36" i="7"/>
  <c r="AM36" i="7"/>
  <c r="AK36" i="7"/>
  <c r="AJ36" i="7"/>
  <c r="AI36" i="7"/>
  <c r="AG36" i="7"/>
  <c r="AE36" i="7"/>
  <c r="AB36" i="7"/>
  <c r="AN35" i="7"/>
  <c r="AM35" i="7"/>
  <c r="AK35" i="7"/>
  <c r="AJ35" i="7"/>
  <c r="AI35" i="7"/>
  <c r="AG35" i="7"/>
  <c r="AE35" i="7"/>
  <c r="AB35" i="7"/>
  <c r="AM34" i="7"/>
  <c r="AK34" i="7"/>
  <c r="AJ34" i="7"/>
  <c r="AI34" i="7"/>
  <c r="AG34" i="7"/>
  <c r="AE34" i="7"/>
  <c r="AB34" i="7"/>
  <c r="AB33" i="7"/>
  <c r="AG26" i="8"/>
  <c r="AB26" i="8"/>
  <c r="S27" i="8"/>
  <c r="M26" i="8"/>
  <c r="L26" i="8"/>
  <c r="K26" i="8"/>
  <c r="K27" i="8" s="1"/>
  <c r="E26" i="8"/>
  <c r="D26" i="8"/>
  <c r="C26" i="8"/>
  <c r="C27" i="8" s="1"/>
  <c r="AJ25" i="8"/>
  <c r="AJ24" i="8"/>
  <c r="AJ23" i="8"/>
  <c r="AO23" i="8"/>
  <c r="AJ22" i="8"/>
  <c r="AJ21" i="8"/>
  <c r="AJ20" i="8"/>
  <c r="AJ19" i="8"/>
  <c r="AJ18" i="8"/>
  <c r="AJ17" i="8"/>
  <c r="AO14" i="8"/>
  <c r="AO12" i="8"/>
  <c r="AO8" i="8"/>
  <c r="AN26" i="8"/>
  <c r="AL26" i="8"/>
  <c r="AK26" i="8"/>
  <c r="AJ26" i="8"/>
  <c r="AF26" i="8"/>
  <c r="AC26" i="8"/>
  <c r="AQ14" i="7"/>
  <c r="Y19" i="7"/>
  <c r="Y13" i="7"/>
  <c r="Y12" i="7"/>
  <c r="Y11" i="7"/>
  <c r="Y10" i="7"/>
  <c r="Y9" i="7"/>
  <c r="Y8" i="7"/>
  <c r="AO5" i="7"/>
  <c r="AJ25" i="7"/>
  <c r="AF25" i="7"/>
  <c r="T25" i="7"/>
  <c r="AG23" i="7"/>
  <c r="AC23" i="7"/>
  <c r="AK16" i="7"/>
  <c r="AK17" i="7"/>
  <c r="AK18" i="7"/>
  <c r="AK19" i="7"/>
  <c r="AK20" i="7"/>
  <c r="AK21" i="7"/>
  <c r="AK22" i="7"/>
  <c r="AK23" i="7"/>
  <c r="AK24" i="7"/>
  <c r="AK6" i="7"/>
  <c r="AK7" i="7"/>
  <c r="AK8" i="7"/>
  <c r="AK9" i="7"/>
  <c r="AK10" i="7"/>
  <c r="AK11" i="7"/>
  <c r="AK12" i="7"/>
  <c r="AK13" i="7"/>
  <c r="AK14" i="7"/>
  <c r="AK5" i="7"/>
  <c r="AC17" i="7"/>
  <c r="AC15" i="7"/>
  <c r="AB10" i="7"/>
  <c r="AB5" i="7"/>
  <c r="AN22" i="7"/>
  <c r="AN6" i="7"/>
  <c r="AN7" i="7"/>
  <c r="AN8" i="7"/>
  <c r="AN12" i="7"/>
  <c r="AN14" i="7"/>
  <c r="AC13" i="7"/>
  <c r="AC18" i="7"/>
  <c r="D25" i="7"/>
  <c r="E25" i="7"/>
  <c r="C25" i="7"/>
  <c r="C26" i="7" s="1"/>
  <c r="AM13" i="7"/>
  <c r="AM14" i="7"/>
  <c r="AJ13" i="7"/>
  <c r="AJ14" i="7"/>
  <c r="AI13" i="7"/>
  <c r="AI14" i="7"/>
  <c r="AG13" i="7"/>
  <c r="AG14" i="7"/>
  <c r="AE13" i="7"/>
  <c r="AE14" i="7"/>
  <c r="AB13" i="7"/>
  <c r="AB14" i="7"/>
  <c r="AM17" i="7"/>
  <c r="AJ6" i="7"/>
  <c r="AB17" i="7"/>
  <c r="AB18" i="7"/>
  <c r="AB19" i="7"/>
  <c r="AB20" i="7"/>
  <c r="AB21" i="7"/>
  <c r="AB6" i="7"/>
  <c r="AD6" i="7" s="1"/>
  <c r="AB7" i="7"/>
  <c r="AD7" i="7" s="1"/>
  <c r="AB8" i="7"/>
  <c r="AD8" i="7" s="1"/>
  <c r="AB9" i="7"/>
  <c r="AH6" i="7"/>
  <c r="AP6" i="7" s="1"/>
  <c r="AH17" i="7"/>
  <c r="AH18" i="7"/>
  <c r="AH19" i="7"/>
  <c r="AH20" i="7"/>
  <c r="AH21" i="7"/>
  <c r="AA25" i="7"/>
  <c r="U25" i="7"/>
  <c r="S25" i="7"/>
  <c r="S26" i="7" s="1"/>
  <c r="M25" i="7"/>
  <c r="L25" i="7"/>
  <c r="K25" i="7"/>
  <c r="K26" i="7" s="1"/>
  <c r="AM24" i="7"/>
  <c r="AJ24" i="7"/>
  <c r="AI24" i="7"/>
  <c r="AG24" i="7"/>
  <c r="AE24" i="7"/>
  <c r="AB24" i="7"/>
  <c r="AM12" i="7"/>
  <c r="AJ12" i="7"/>
  <c r="AI12" i="7"/>
  <c r="AG12" i="7"/>
  <c r="AE12" i="7"/>
  <c r="AB12" i="7"/>
  <c r="AD12" i="7" s="1"/>
  <c r="AM11" i="7"/>
  <c r="AI11" i="7"/>
  <c r="AG11" i="7"/>
  <c r="AE11" i="7"/>
  <c r="AJ11" i="7"/>
  <c r="AB11" i="7"/>
  <c r="AJ23" i="7"/>
  <c r="AI23" i="7"/>
  <c r="AE23" i="7"/>
  <c r="AB23" i="7"/>
  <c r="AM22" i="7"/>
  <c r="AJ22" i="7"/>
  <c r="AI22" i="7"/>
  <c r="AG22" i="7"/>
  <c r="AE22" i="7"/>
  <c r="AB22" i="7"/>
  <c r="AM21" i="7"/>
  <c r="AI21" i="7"/>
  <c r="AG21" i="7"/>
  <c r="AE21" i="7"/>
  <c r="AJ21" i="7"/>
  <c r="AM20" i="7"/>
  <c r="AI20" i="7"/>
  <c r="AG20" i="7"/>
  <c r="AE20" i="7"/>
  <c r="AJ20" i="7"/>
  <c r="AM19" i="7"/>
  <c r="AI19" i="7"/>
  <c r="AG19" i="7"/>
  <c r="AE19" i="7"/>
  <c r="AJ19" i="7"/>
  <c r="AM18" i="7"/>
  <c r="AI18" i="7"/>
  <c r="AG18" i="7"/>
  <c r="AG25" i="7" s="1"/>
  <c r="AE18" i="7"/>
  <c r="AJ18" i="7"/>
  <c r="AL17" i="7"/>
  <c r="AR17" i="7" s="1"/>
  <c r="AJ17" i="7"/>
  <c r="AI17" i="7"/>
  <c r="AG17" i="7"/>
  <c r="AE17" i="7"/>
  <c r="AQ17" i="7"/>
  <c r="AM16" i="7"/>
  <c r="AI16" i="7"/>
  <c r="AG16" i="7"/>
  <c r="AE16" i="7"/>
  <c r="AJ16" i="7"/>
  <c r="AB16" i="7"/>
  <c r="AM15" i="7"/>
  <c r="AI15" i="7"/>
  <c r="AG15" i="7"/>
  <c r="AE15" i="7"/>
  <c r="AJ15" i="7"/>
  <c r="AB15" i="7"/>
  <c r="AK15" i="7"/>
  <c r="AM10" i="7"/>
  <c r="AI10" i="7"/>
  <c r="AG10" i="7"/>
  <c r="AE10" i="7"/>
  <c r="AJ10" i="7"/>
  <c r="AM9" i="7"/>
  <c r="AJ9" i="7"/>
  <c r="AI9" i="7"/>
  <c r="AI25" i="7" s="1"/>
  <c r="AG9" i="7"/>
  <c r="AE9" i="7"/>
  <c r="AM8" i="7"/>
  <c r="AJ8" i="7"/>
  <c r="AI8" i="7"/>
  <c r="AG8" i="7"/>
  <c r="AE8" i="7"/>
  <c r="AM7" i="7"/>
  <c r="AI7" i="7"/>
  <c r="AG7" i="7"/>
  <c r="AE7" i="7"/>
  <c r="AJ7" i="7"/>
  <c r="AM6" i="7"/>
  <c r="AL6" i="7"/>
  <c r="AR6" i="7" s="1"/>
  <c r="AQ6" i="7"/>
  <c r="AI6" i="7"/>
  <c r="AG6" i="7"/>
  <c r="AE6" i="7"/>
  <c r="AM5" i="7"/>
  <c r="AI5" i="7"/>
  <c r="AG5" i="7"/>
  <c r="AE5" i="7"/>
  <c r="AJ5" i="7"/>
  <c r="AQ5" i="7"/>
  <c r="AB4" i="7"/>
  <c r="AB25" i="7" s="1"/>
  <c r="AI11" i="3"/>
  <c r="AP9" i="5"/>
  <c r="AP10" i="5"/>
  <c r="AP11" i="5"/>
  <c r="AC17" i="3"/>
  <c r="AG16" i="3"/>
  <c r="AB21" i="3"/>
  <c r="AJ21" i="3"/>
  <c r="AL21" i="3"/>
  <c r="AM22" i="3"/>
  <c r="AG21" i="3"/>
  <c r="AE20" i="3"/>
  <c r="AM19" i="3"/>
  <c r="AM6" i="3"/>
  <c r="Y5" i="3"/>
  <c r="AK5" i="3"/>
  <c r="AG5" i="3"/>
  <c r="AE5" i="3"/>
  <c r="AC15" i="3"/>
  <c r="Y20" i="3"/>
  <c r="Y17" i="3"/>
  <c r="Y15" i="3"/>
  <c r="Y13" i="3"/>
  <c r="Y11" i="3"/>
  <c r="Y10" i="3"/>
  <c r="Y9" i="3"/>
  <c r="Y8" i="3"/>
  <c r="AC20" i="3"/>
  <c r="AC12" i="3"/>
  <c r="AC11" i="3"/>
  <c r="AC5" i="3"/>
  <c r="T23" i="3"/>
  <c r="U23" i="3"/>
  <c r="S23" i="3"/>
  <c r="AM7" i="3"/>
  <c r="AM8" i="3"/>
  <c r="AM9" i="3"/>
  <c r="AM10" i="3"/>
  <c r="AM11" i="3"/>
  <c r="AM12" i="3"/>
  <c r="AM14" i="3"/>
  <c r="AM15" i="3"/>
  <c r="AM16" i="3"/>
  <c r="AM17" i="3"/>
  <c r="AM18" i="3"/>
  <c r="AM20" i="3"/>
  <c r="AM21" i="3"/>
  <c r="AM5" i="3"/>
  <c r="AK7" i="3"/>
  <c r="AJ15" i="3"/>
  <c r="D23" i="3"/>
  <c r="AB4" i="3"/>
  <c r="AA23" i="3"/>
  <c r="L23" i="3"/>
  <c r="M23" i="3"/>
  <c r="K23" i="3"/>
  <c r="AC16" i="3"/>
  <c r="AC14" i="3"/>
  <c r="AC10" i="3"/>
  <c r="AC7" i="3"/>
  <c r="AI5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8" i="3"/>
  <c r="AK9" i="3"/>
  <c r="AK10" i="3"/>
  <c r="AK6" i="3"/>
  <c r="AJ19" i="3"/>
  <c r="AJ13" i="5"/>
  <c r="AQ13" i="5" s="1"/>
  <c r="AI13" i="5"/>
  <c r="AG13" i="5"/>
  <c r="AE13" i="5"/>
  <c r="AB13" i="5"/>
  <c r="AJ12" i="5"/>
  <c r="AQ12" i="5" s="1"/>
  <c r="AI12" i="5"/>
  <c r="AP12" i="5" s="1"/>
  <c r="AG12" i="5"/>
  <c r="AE12" i="5"/>
  <c r="AB12" i="5"/>
  <c r="AJ11" i="5"/>
  <c r="AQ11" i="5" s="1"/>
  <c r="AI11" i="5"/>
  <c r="AG11" i="5"/>
  <c r="AE11" i="5"/>
  <c r="AB11" i="5"/>
  <c r="AJ10" i="5"/>
  <c r="AQ10" i="5" s="1"/>
  <c r="AI10" i="5"/>
  <c r="AG10" i="5"/>
  <c r="AE10" i="5"/>
  <c r="AB10" i="5"/>
  <c r="AJ9" i="5"/>
  <c r="AQ9" i="5" s="1"/>
  <c r="AI9" i="5"/>
  <c r="AG9" i="5"/>
  <c r="AE9" i="5"/>
  <c r="AB9" i="5"/>
  <c r="AN8" i="5"/>
  <c r="AL8" i="5"/>
  <c r="AR8" i="5" s="1"/>
  <c r="AJ8" i="5"/>
  <c r="AQ8" i="5" s="1"/>
  <c r="AH8" i="5"/>
  <c r="AP8" i="5" s="1"/>
  <c r="AD8" i="5"/>
  <c r="AO8" i="5" s="1"/>
  <c r="AN7" i="5"/>
  <c r="AL7" i="5"/>
  <c r="AR7" i="5" s="1"/>
  <c r="AJ7" i="5"/>
  <c r="AQ7" i="5" s="1"/>
  <c r="AH7" i="5"/>
  <c r="AP7" i="5" s="1"/>
  <c r="AD7" i="5"/>
  <c r="AO7" i="5" s="1"/>
  <c r="AJ6" i="5"/>
  <c r="AQ6" i="5" s="1"/>
  <c r="AI6" i="5"/>
  <c r="AG6" i="5"/>
  <c r="AE6" i="5"/>
  <c r="AB6" i="5"/>
  <c r="AJ5" i="5"/>
  <c r="AQ5" i="5" s="1"/>
  <c r="AI5" i="5"/>
  <c r="AG5" i="5"/>
  <c r="AE5" i="5"/>
  <c r="AB5" i="5"/>
  <c r="AN4" i="5"/>
  <c r="AL4" i="5"/>
  <c r="AR4" i="5" s="1"/>
  <c r="AJ4" i="5"/>
  <c r="AQ4" i="5" s="1"/>
  <c r="AH4" i="5"/>
  <c r="AP4" i="5" s="1"/>
  <c r="AD4" i="5"/>
  <c r="AO4" i="5" s="1"/>
  <c r="E23" i="3"/>
  <c r="C23" i="3"/>
  <c r="C24" i="3" s="1"/>
  <c r="AJ22" i="3"/>
  <c r="AI22" i="3"/>
  <c r="AG22" i="3"/>
  <c r="AE22" i="3"/>
  <c r="AB22" i="3"/>
  <c r="AI21" i="3"/>
  <c r="AE21" i="3"/>
  <c r="AJ20" i="3"/>
  <c r="AI20" i="3"/>
  <c r="AG20" i="3"/>
  <c r="AB20" i="3"/>
  <c r="AD20" i="3" s="1"/>
  <c r="AI19" i="3"/>
  <c r="AG19" i="3"/>
  <c r="AE19" i="3"/>
  <c r="AB19" i="3"/>
  <c r="AJ18" i="3"/>
  <c r="AI18" i="3"/>
  <c r="AP18" i="3" s="1"/>
  <c r="AG18" i="3"/>
  <c r="AE18" i="3"/>
  <c r="AB18" i="3"/>
  <c r="AJ17" i="3"/>
  <c r="AI17" i="3"/>
  <c r="AP17" i="3" s="1"/>
  <c r="AG17" i="3"/>
  <c r="AE17" i="3"/>
  <c r="AB17" i="3"/>
  <c r="AJ16" i="3"/>
  <c r="AI16" i="3"/>
  <c r="AP16" i="3" s="1"/>
  <c r="AE16" i="3"/>
  <c r="AB16" i="3"/>
  <c r="AI15" i="3"/>
  <c r="AP15" i="3" s="1"/>
  <c r="AG15" i="3"/>
  <c r="AE15" i="3"/>
  <c r="AB15" i="3"/>
  <c r="AJ14" i="3"/>
  <c r="AI14" i="3"/>
  <c r="AP14" i="3" s="1"/>
  <c r="AG14" i="3"/>
  <c r="AE14" i="3"/>
  <c r="AB14" i="3"/>
  <c r="AJ13" i="3"/>
  <c r="AI13" i="3"/>
  <c r="AP13" i="3" s="1"/>
  <c r="AG13" i="3"/>
  <c r="AE13" i="3"/>
  <c r="AJ12" i="3"/>
  <c r="AI12" i="3"/>
  <c r="AG12" i="3"/>
  <c r="AE12" i="3"/>
  <c r="AB12" i="3"/>
  <c r="AJ11" i="3"/>
  <c r="AG11" i="3"/>
  <c r="AE11" i="3"/>
  <c r="AB11" i="3"/>
  <c r="AJ10" i="3"/>
  <c r="AI10" i="3"/>
  <c r="AG10" i="3"/>
  <c r="AE10" i="3"/>
  <c r="AB10" i="3"/>
  <c r="AJ9" i="3"/>
  <c r="AI9" i="3"/>
  <c r="AG9" i="3"/>
  <c r="AE9" i="3"/>
  <c r="AB9" i="3"/>
  <c r="AJ8" i="3"/>
  <c r="AI8" i="3"/>
  <c r="AG8" i="3"/>
  <c r="AE8" i="3"/>
  <c r="AB8" i="3"/>
  <c r="AJ7" i="3"/>
  <c r="AI7" i="3"/>
  <c r="AG7" i="3"/>
  <c r="AE7" i="3"/>
  <c r="AB7" i="3"/>
  <c r="AI6" i="3"/>
  <c r="AG6" i="3"/>
  <c r="AE6" i="3"/>
  <c r="AJ5" i="3"/>
  <c r="AB5" i="3"/>
  <c r="AR6" i="8" l="1"/>
  <c r="AO6" i="8"/>
  <c r="AM6" i="8"/>
  <c r="AS6" i="8" s="1"/>
  <c r="AR5" i="8"/>
  <c r="AO5" i="8"/>
  <c r="AM5" i="8"/>
  <c r="AS5" i="8" s="1"/>
  <c r="AM15" i="8"/>
  <c r="AS15" i="8" s="1"/>
  <c r="AR15" i="8"/>
  <c r="AO15" i="8"/>
  <c r="AI15" i="8"/>
  <c r="AQ15" i="8" s="1"/>
  <c r="AE15" i="8"/>
  <c r="AO7" i="8"/>
  <c r="AM7" i="8"/>
  <c r="AM26" i="8" s="1"/>
  <c r="AI5" i="8"/>
  <c r="AQ5" i="8" s="1"/>
  <c r="AE5" i="8"/>
  <c r="AI10" i="8"/>
  <c r="AQ10" i="8" s="1"/>
  <c r="AI20" i="8"/>
  <c r="AE19" i="8"/>
  <c r="AQ34" i="7"/>
  <c r="AN34" i="7"/>
  <c r="AL34" i="7"/>
  <c r="AR34" i="7" s="1"/>
  <c r="AH34" i="7"/>
  <c r="AD34" i="7"/>
  <c r="AO34" i="7"/>
  <c r="AQ35" i="7"/>
  <c r="AL35" i="7"/>
  <c r="AR35" i="7" s="1"/>
  <c r="AH35" i="7"/>
  <c r="AD35" i="7"/>
  <c r="AO35" i="7"/>
  <c r="AS35" i="7"/>
  <c r="AQ36" i="7"/>
  <c r="AL36" i="7"/>
  <c r="AR36" i="7" s="1"/>
  <c r="AH36" i="7"/>
  <c r="AD36" i="7"/>
  <c r="AO36" i="7"/>
  <c r="AS36" i="7"/>
  <c r="AQ37" i="7"/>
  <c r="AL37" i="7"/>
  <c r="AR37" i="7" s="1"/>
  <c r="AH37" i="7"/>
  <c r="AD37" i="7"/>
  <c r="AO37" i="7"/>
  <c r="AS37" i="7"/>
  <c r="AQ38" i="7"/>
  <c r="AN38" i="7"/>
  <c r="AL38" i="7"/>
  <c r="AR38" i="7" s="1"/>
  <c r="AH38" i="7"/>
  <c r="AD38" i="7"/>
  <c r="AO38" i="7"/>
  <c r="AQ39" i="7"/>
  <c r="AN39" i="7"/>
  <c r="AL39" i="7"/>
  <c r="AR39" i="7" s="1"/>
  <c r="AH39" i="7"/>
  <c r="AD39" i="7"/>
  <c r="AO39" i="7"/>
  <c r="AQ40" i="7"/>
  <c r="AN40" i="7"/>
  <c r="AL40" i="7"/>
  <c r="AR40" i="7" s="1"/>
  <c r="AH40" i="7"/>
  <c r="AD40" i="7"/>
  <c r="AO40" i="7"/>
  <c r="AQ41" i="7"/>
  <c r="AL41" i="7"/>
  <c r="AR41" i="7" s="1"/>
  <c r="AH41" i="7"/>
  <c r="AD41" i="7"/>
  <c r="AO41" i="7"/>
  <c r="AS41" i="7"/>
  <c r="AQ42" i="7"/>
  <c r="AN42" i="7"/>
  <c r="AL42" i="7"/>
  <c r="AR42" i="7" s="1"/>
  <c r="AH42" i="7"/>
  <c r="AD42" i="7"/>
  <c r="AO42" i="7"/>
  <c r="AQ43" i="7"/>
  <c r="AL43" i="7"/>
  <c r="AR43" i="7" s="1"/>
  <c r="AH43" i="7"/>
  <c r="AD43" i="7"/>
  <c r="AO43" i="7"/>
  <c r="AS43" i="7"/>
  <c r="AQ44" i="7"/>
  <c r="AN44" i="7"/>
  <c r="AL44" i="7"/>
  <c r="AR44" i="7" s="1"/>
  <c r="AH44" i="7"/>
  <c r="AD44" i="7"/>
  <c r="AO44" i="7"/>
  <c r="AQ45" i="7"/>
  <c r="AN45" i="7"/>
  <c r="AL45" i="7"/>
  <c r="AR45" i="7" s="1"/>
  <c r="AH45" i="7"/>
  <c r="AD45" i="7"/>
  <c r="AO45" i="7"/>
  <c r="AQ46" i="7"/>
  <c r="AN46" i="7"/>
  <c r="AL46" i="7"/>
  <c r="AR46" i="7" s="1"/>
  <c r="AH46" i="7"/>
  <c r="AD46" i="7"/>
  <c r="AO46" i="7"/>
  <c r="AQ47" i="7"/>
  <c r="AN47" i="7"/>
  <c r="AL47" i="7"/>
  <c r="AR47" i="7" s="1"/>
  <c r="AH47" i="7"/>
  <c r="AD47" i="7"/>
  <c r="AO47" i="7"/>
  <c r="AQ48" i="7"/>
  <c r="AN48" i="7"/>
  <c r="AL48" i="7"/>
  <c r="AR48" i="7" s="1"/>
  <c r="AH48" i="7"/>
  <c r="AD48" i="7"/>
  <c r="AO48" i="7"/>
  <c r="AQ49" i="7"/>
  <c r="AN49" i="7"/>
  <c r="AL49" i="7"/>
  <c r="AR49" i="7" s="1"/>
  <c r="AH49" i="7"/>
  <c r="AD49" i="7"/>
  <c r="AO49" i="7"/>
  <c r="AQ50" i="7"/>
  <c r="AN50" i="7"/>
  <c r="AL50" i="7"/>
  <c r="AR50" i="7" s="1"/>
  <c r="AH50" i="7"/>
  <c r="AD50" i="7"/>
  <c r="AO50" i="7"/>
  <c r="AQ51" i="7"/>
  <c r="AL51" i="7"/>
  <c r="AR51" i="7" s="1"/>
  <c r="AH51" i="7"/>
  <c r="AD51" i="7"/>
  <c r="AO51" i="7"/>
  <c r="AS51" i="7"/>
  <c r="AQ52" i="7"/>
  <c r="AN52" i="7"/>
  <c r="AL52" i="7"/>
  <c r="AR52" i="7" s="1"/>
  <c r="AH52" i="7"/>
  <c r="AD52" i="7"/>
  <c r="AO52" i="7"/>
  <c r="AQ53" i="7"/>
  <c r="AN53" i="7"/>
  <c r="AL53" i="7"/>
  <c r="AR53" i="7" s="1"/>
  <c r="AH53" i="7"/>
  <c r="AD53" i="7"/>
  <c r="AO53" i="7"/>
  <c r="AH26" i="8"/>
  <c r="AI6" i="8"/>
  <c r="AQ6" i="8" s="1"/>
  <c r="AE6" i="8"/>
  <c r="AP6" i="8"/>
  <c r="AT6" i="8"/>
  <c r="AR7" i="8"/>
  <c r="AS7" i="8"/>
  <c r="AI7" i="8"/>
  <c r="AQ7" i="8" s="1"/>
  <c r="AE7" i="8"/>
  <c r="AP7" i="8"/>
  <c r="AT7" i="8"/>
  <c r="AR8" i="8"/>
  <c r="AS8" i="8"/>
  <c r="AI8" i="8"/>
  <c r="AQ8" i="8" s="1"/>
  <c r="AE8" i="8"/>
  <c r="AP8" i="8"/>
  <c r="AT8" i="8"/>
  <c r="AR9" i="8"/>
  <c r="AO9" i="8"/>
  <c r="AS9" i="8"/>
  <c r="AI9" i="8"/>
  <c r="AQ9" i="8" s="1"/>
  <c r="AE9" i="8"/>
  <c r="AP9" i="8"/>
  <c r="AR10" i="8"/>
  <c r="AO10" i="8"/>
  <c r="AS10" i="8"/>
  <c r="AE10" i="8"/>
  <c r="AP10" i="8"/>
  <c r="AR11" i="8"/>
  <c r="AO11" i="8"/>
  <c r="AS11" i="8"/>
  <c r="AI11" i="8"/>
  <c r="AQ11" i="8" s="1"/>
  <c r="AE11" i="8"/>
  <c r="AP11" i="8"/>
  <c r="AR12" i="8"/>
  <c r="AS12" i="8"/>
  <c r="AI12" i="8"/>
  <c r="AQ12" i="8" s="1"/>
  <c r="AE12" i="8"/>
  <c r="AP12" i="8"/>
  <c r="AT12" i="8"/>
  <c r="AR13" i="8"/>
  <c r="AO13" i="8"/>
  <c r="AS13" i="8"/>
  <c r="AI13" i="8"/>
  <c r="AQ13" i="8" s="1"/>
  <c r="AE13" i="8"/>
  <c r="AP13" i="8"/>
  <c r="AR14" i="8"/>
  <c r="AS14" i="8"/>
  <c r="AI14" i="8"/>
  <c r="AQ14" i="8" s="1"/>
  <c r="AE14" i="8"/>
  <c r="AP14" i="8"/>
  <c r="AT14" i="8"/>
  <c r="AR16" i="8"/>
  <c r="AO16" i="8"/>
  <c r="AS16" i="8"/>
  <c r="AI16" i="8"/>
  <c r="AQ16" i="8" s="1"/>
  <c r="AE16" i="8"/>
  <c r="AP16" i="8"/>
  <c r="AR17" i="8"/>
  <c r="AO17" i="8"/>
  <c r="AS17" i="8"/>
  <c r="AI17" i="8"/>
  <c r="AQ17" i="8" s="1"/>
  <c r="AE17" i="8"/>
  <c r="AP17" i="8" s="1"/>
  <c r="AR18" i="8"/>
  <c r="AO18" i="8"/>
  <c r="AS18" i="8"/>
  <c r="AI18" i="8"/>
  <c r="AQ18" i="8" s="1"/>
  <c r="AE18" i="8"/>
  <c r="AP18" i="8"/>
  <c r="AR19" i="8"/>
  <c r="AO19" i="8"/>
  <c r="AS19" i="8"/>
  <c r="AI19" i="8"/>
  <c r="AQ19" i="8" s="1"/>
  <c r="AP19" i="8"/>
  <c r="AR20" i="8"/>
  <c r="AO20" i="8"/>
  <c r="AS20" i="8"/>
  <c r="AQ20" i="8"/>
  <c r="AE20" i="8"/>
  <c r="AP20" i="8"/>
  <c r="AR21" i="8"/>
  <c r="AO21" i="8"/>
  <c r="AS21" i="8"/>
  <c r="AI21" i="8"/>
  <c r="AQ21" i="8" s="1"/>
  <c r="AE21" i="8"/>
  <c r="AP21" i="8"/>
  <c r="AR22" i="8"/>
  <c r="AO22" i="8"/>
  <c r="AS22" i="8"/>
  <c r="AI22" i="8"/>
  <c r="AQ22" i="8" s="1"/>
  <c r="AE22" i="8"/>
  <c r="AP22" i="8"/>
  <c r="AR23" i="8"/>
  <c r="AS23" i="8"/>
  <c r="AI23" i="8"/>
  <c r="AQ23" i="8" s="1"/>
  <c r="AE23" i="8"/>
  <c r="AP23" i="8"/>
  <c r="AT23" i="8"/>
  <c r="AR24" i="8"/>
  <c r="AO24" i="8"/>
  <c r="AS24" i="8"/>
  <c r="AI24" i="8"/>
  <c r="AQ24" i="8" s="1"/>
  <c r="AE24" i="8"/>
  <c r="AP24" i="8"/>
  <c r="AR25" i="8"/>
  <c r="AO25" i="8"/>
  <c r="AS25" i="8"/>
  <c r="AI25" i="8"/>
  <c r="AQ25" i="8" s="1"/>
  <c r="AE25" i="8"/>
  <c r="AP25" i="8"/>
  <c r="AE25" i="7"/>
  <c r="AM25" i="7"/>
  <c r="AK25" i="7"/>
  <c r="AD9" i="7"/>
  <c r="AN9" i="7"/>
  <c r="AD21" i="7"/>
  <c r="AN21" i="7"/>
  <c r="AD20" i="7"/>
  <c r="AN20" i="7"/>
  <c r="AN5" i="7"/>
  <c r="AD5" i="7"/>
  <c r="AN16" i="7"/>
  <c r="AD16" i="7"/>
  <c r="AH22" i="7"/>
  <c r="AP22" i="7" s="1"/>
  <c r="AD22" i="7"/>
  <c r="AN23" i="7"/>
  <c r="AD23" i="7"/>
  <c r="AN11" i="7"/>
  <c r="AD11" i="7"/>
  <c r="AN24" i="7"/>
  <c r="AD24" i="7"/>
  <c r="AP21" i="7"/>
  <c r="AP20" i="7"/>
  <c r="AP19" i="7"/>
  <c r="AP18" i="7"/>
  <c r="AP17" i="7"/>
  <c r="AN10" i="7"/>
  <c r="AD10" i="7"/>
  <c r="AN19" i="7"/>
  <c r="AD19" i="7"/>
  <c r="AN18" i="7"/>
  <c r="AD18" i="7"/>
  <c r="AD14" i="7"/>
  <c r="AL14" i="7"/>
  <c r="AR14" i="7" s="1"/>
  <c r="AH14" i="7"/>
  <c r="AP14" i="7" s="1"/>
  <c r="AN13" i="7"/>
  <c r="AD13" i="7"/>
  <c r="AO14" i="7"/>
  <c r="AS14" i="7"/>
  <c r="AN15" i="7"/>
  <c r="AD15" i="7"/>
  <c r="AD25" i="7" s="1"/>
  <c r="AN17" i="7"/>
  <c r="AD17" i="7"/>
  <c r="AU14" i="7" a="1"/>
  <c r="AU14" i="7" s="1"/>
  <c r="AT14" i="7" a="1"/>
  <c r="AT14" i="7" s="1"/>
  <c r="AQ13" i="7"/>
  <c r="AL13" i="7"/>
  <c r="AR13" i="7" s="1"/>
  <c r="AH13" i="7"/>
  <c r="AP13" i="7" s="1"/>
  <c r="AO13" i="7"/>
  <c r="AL5" i="7"/>
  <c r="AR5" i="7" s="1"/>
  <c r="AH5" i="7"/>
  <c r="AP5" i="7" s="1"/>
  <c r="AO6" i="7"/>
  <c r="AS6" i="7"/>
  <c r="AQ7" i="7"/>
  <c r="AL7" i="7"/>
  <c r="AR7" i="7" s="1"/>
  <c r="AH7" i="7"/>
  <c r="AP7" i="7" s="1"/>
  <c r="AO7" i="7"/>
  <c r="AQ8" i="7"/>
  <c r="AL8" i="7"/>
  <c r="AR8" i="7" s="1"/>
  <c r="AH8" i="7"/>
  <c r="AP8" i="7" s="1"/>
  <c r="AO8" i="7"/>
  <c r="AQ9" i="7"/>
  <c r="AL9" i="7"/>
  <c r="AR9" i="7" s="1"/>
  <c r="AH9" i="7"/>
  <c r="AP9" i="7" s="1"/>
  <c r="AO9" i="7"/>
  <c r="AQ10" i="7"/>
  <c r="AL10" i="7"/>
  <c r="AR10" i="7" s="1"/>
  <c r="AH10" i="7"/>
  <c r="AP10" i="7" s="1"/>
  <c r="AO10" i="7"/>
  <c r="AQ15" i="7"/>
  <c r="AL15" i="7"/>
  <c r="AH15" i="7"/>
  <c r="AO15" i="7"/>
  <c r="AQ16" i="7"/>
  <c r="AL16" i="7"/>
  <c r="AR16" i="7" s="1"/>
  <c r="AH16" i="7"/>
  <c r="AP16" i="7" s="1"/>
  <c r="AO16" i="7"/>
  <c r="AO17" i="7"/>
  <c r="AS17" i="7"/>
  <c r="AQ18" i="7"/>
  <c r="AL18" i="7"/>
  <c r="AR18" i="7" s="1"/>
  <c r="AO18" i="7"/>
  <c r="AQ19" i="7"/>
  <c r="AL19" i="7"/>
  <c r="AR19" i="7" s="1"/>
  <c r="AO19" i="7"/>
  <c r="AQ20" i="7"/>
  <c r="AL20" i="7"/>
  <c r="AR20" i="7" s="1"/>
  <c r="AO20" i="7"/>
  <c r="AQ21" i="7"/>
  <c r="AL21" i="7"/>
  <c r="AR21" i="7" s="1"/>
  <c r="AO21" i="7"/>
  <c r="AQ22" i="7"/>
  <c r="AL22" i="7"/>
  <c r="AR22" i="7" s="1"/>
  <c r="AO22" i="7"/>
  <c r="AQ23" i="7"/>
  <c r="AL23" i="7"/>
  <c r="AR23" i="7" s="1"/>
  <c r="AH23" i="7"/>
  <c r="AP23" i="7" s="1"/>
  <c r="AO23" i="7"/>
  <c r="AQ11" i="7"/>
  <c r="AL11" i="7"/>
  <c r="AR11" i="7" s="1"/>
  <c r="AH11" i="7"/>
  <c r="AP11" i="7" s="1"/>
  <c r="AO11" i="7"/>
  <c r="AQ12" i="7"/>
  <c r="AL12" i="7"/>
  <c r="AR12" i="7" s="1"/>
  <c r="AH12" i="7"/>
  <c r="AP12" i="7" s="1"/>
  <c r="AO12" i="7"/>
  <c r="AQ24" i="7"/>
  <c r="AL24" i="7"/>
  <c r="AR24" i="7" s="1"/>
  <c r="AH24" i="7"/>
  <c r="AP24" i="7" s="1"/>
  <c r="AO24" i="7"/>
  <c r="AH11" i="3"/>
  <c r="AP11" i="3" s="1"/>
  <c r="AD11" i="3"/>
  <c r="AE23" i="3"/>
  <c r="K24" i="3"/>
  <c r="S24" i="3"/>
  <c r="AB23" i="3"/>
  <c r="AN6" i="3"/>
  <c r="AQ6" i="3"/>
  <c r="AN7" i="3"/>
  <c r="AQ7" i="3"/>
  <c r="AN8" i="3"/>
  <c r="AQ8" i="3"/>
  <c r="AN9" i="3"/>
  <c r="AQ9" i="3"/>
  <c r="AN10" i="3"/>
  <c r="AQ10" i="3"/>
  <c r="AN11" i="3"/>
  <c r="AQ11" i="3"/>
  <c r="AO11" i="3"/>
  <c r="AN12" i="3"/>
  <c r="AQ12" i="3"/>
  <c r="AN13" i="3"/>
  <c r="AQ13" i="3"/>
  <c r="AN14" i="3"/>
  <c r="AQ14" i="3"/>
  <c r="AN15" i="3"/>
  <c r="AQ15" i="3"/>
  <c r="AN16" i="3"/>
  <c r="AQ16" i="3"/>
  <c r="AN17" i="3"/>
  <c r="AQ17" i="3"/>
  <c r="AN18" i="3"/>
  <c r="AQ18" i="3"/>
  <c r="AN20" i="3"/>
  <c r="AQ20" i="3"/>
  <c r="AN21" i="3"/>
  <c r="AQ21" i="3"/>
  <c r="AN22" i="3"/>
  <c r="AQ22" i="3"/>
  <c r="AH5" i="3"/>
  <c r="AP5" i="3" s="1"/>
  <c r="AN5" i="3"/>
  <c r="AQ5" i="3"/>
  <c r="AN19" i="3"/>
  <c r="AQ19" i="3"/>
  <c r="AS4" i="5"/>
  <c r="AN5" i="5"/>
  <c r="AL5" i="5"/>
  <c r="AR5" i="5" s="1"/>
  <c r="AH5" i="5"/>
  <c r="AD5" i="5"/>
  <c r="AO5" i="5"/>
  <c r="AP5" i="5"/>
  <c r="AN6" i="5"/>
  <c r="AL6" i="5"/>
  <c r="AR6" i="5" s="1"/>
  <c r="AH6" i="5"/>
  <c r="AD6" i="5"/>
  <c r="AO6" i="5"/>
  <c r="AP6" i="5"/>
  <c r="AS7" i="5"/>
  <c r="AS8" i="5"/>
  <c r="AN9" i="5"/>
  <c r="AL9" i="5"/>
  <c r="AR9" i="5" s="1"/>
  <c r="AH9" i="5"/>
  <c r="AD9" i="5"/>
  <c r="AO9" i="5"/>
  <c r="AN10" i="5"/>
  <c r="AL10" i="5"/>
  <c r="AR10" i="5" s="1"/>
  <c r="AD10" i="5"/>
  <c r="AN11" i="5"/>
  <c r="AL11" i="5"/>
  <c r="AR11" i="5" s="1"/>
  <c r="AH11" i="5"/>
  <c r="AD11" i="5"/>
  <c r="AO11" i="5"/>
  <c r="AN12" i="5"/>
  <c r="AL12" i="5"/>
  <c r="AR12" i="5" s="1"/>
  <c r="AD12" i="5"/>
  <c r="AO12" i="5"/>
  <c r="AN13" i="5"/>
  <c r="AL13" i="5"/>
  <c r="AR13" i="5" s="1"/>
  <c r="AH13" i="5"/>
  <c r="AD13" i="5"/>
  <c r="AO13" i="5"/>
  <c r="AP13" i="5"/>
  <c r="AL5" i="3"/>
  <c r="AR5" i="3" s="1"/>
  <c r="AD5" i="3"/>
  <c r="AO5" i="3" s="1"/>
  <c r="AL6" i="3"/>
  <c r="AR6" i="3" s="1"/>
  <c r="AH6" i="3"/>
  <c r="AP6" i="3" s="1"/>
  <c r="AD6" i="3"/>
  <c r="AO6" i="3" s="1"/>
  <c r="AL7" i="3"/>
  <c r="AR7" i="3" s="1"/>
  <c r="AH7" i="3"/>
  <c r="AP7" i="3" s="1"/>
  <c r="AD7" i="3"/>
  <c r="AO7" i="3" s="1"/>
  <c r="AL8" i="3"/>
  <c r="AR8" i="3" s="1"/>
  <c r="AH8" i="3"/>
  <c r="AP8" i="3" s="1"/>
  <c r="AD8" i="3"/>
  <c r="AO8" i="3" s="1"/>
  <c r="AL9" i="3"/>
  <c r="AR9" i="3" s="1"/>
  <c r="AH9" i="3"/>
  <c r="AP9" i="3" s="1"/>
  <c r="AD9" i="3"/>
  <c r="AO9" i="3" s="1"/>
  <c r="AL10" i="3"/>
  <c r="AR10" i="3" s="1"/>
  <c r="AH10" i="3"/>
  <c r="AP10" i="3" s="1"/>
  <c r="AD10" i="3"/>
  <c r="AO10" i="3" s="1"/>
  <c r="AL11" i="3"/>
  <c r="AR11" i="3" s="1"/>
  <c r="AL12" i="3"/>
  <c r="AR12" i="3" s="1"/>
  <c r="AH12" i="3"/>
  <c r="AP12" i="3" s="1"/>
  <c r="AD12" i="3"/>
  <c r="AO12" i="3" s="1"/>
  <c r="AL13" i="3"/>
  <c r="AR13" i="3" s="1"/>
  <c r="AD13" i="3"/>
  <c r="AO13" i="3" s="1"/>
  <c r="AL14" i="3"/>
  <c r="AR14" i="3" s="1"/>
  <c r="AD14" i="3"/>
  <c r="AO14" i="3" s="1"/>
  <c r="AL15" i="3"/>
  <c r="AR15" i="3" s="1"/>
  <c r="AD15" i="3"/>
  <c r="AO15" i="3" s="1"/>
  <c r="AL16" i="3"/>
  <c r="AR16" i="3" s="1"/>
  <c r="AD16" i="3"/>
  <c r="AO16" i="3" s="1"/>
  <c r="AL17" i="3"/>
  <c r="AR17" i="3" s="1"/>
  <c r="AD17" i="3"/>
  <c r="AO17" i="3" s="1"/>
  <c r="AL18" i="3"/>
  <c r="AR18" i="3" s="1"/>
  <c r="AD18" i="3"/>
  <c r="AO18" i="3" s="1"/>
  <c r="AL19" i="3"/>
  <c r="AR19" i="3" s="1"/>
  <c r="AH19" i="3"/>
  <c r="AP19" i="3" s="1"/>
  <c r="AD19" i="3"/>
  <c r="AO19" i="3" s="1"/>
  <c r="AL20" i="3"/>
  <c r="AR20" i="3" s="1"/>
  <c r="AH20" i="3"/>
  <c r="AP20" i="3" s="1"/>
  <c r="AO20" i="3"/>
  <c r="AR21" i="3"/>
  <c r="AH21" i="3"/>
  <c r="AP21" i="3" s="1"/>
  <c r="AD21" i="3"/>
  <c r="AO21" i="3" s="1"/>
  <c r="AL22" i="3"/>
  <c r="AR22" i="3" s="1"/>
  <c r="AH22" i="3"/>
  <c r="AP22" i="3" s="1"/>
  <c r="AD22" i="3"/>
  <c r="AO22" i="3" s="1"/>
  <c r="AT15" i="8" l="1"/>
  <c r="AS53" i="7"/>
  <c r="AS52" i="7"/>
  <c r="AU51" i="7" a="1"/>
  <c r="AU51" i="7" s="1"/>
  <c r="AT51" i="7" a="1"/>
  <c r="AT51" i="7" s="1"/>
  <c r="AS50" i="7"/>
  <c r="AS49" i="7"/>
  <c r="AS48" i="7"/>
  <c r="AS47" i="7"/>
  <c r="AS46" i="7"/>
  <c r="AS45" i="7"/>
  <c r="AS44" i="7"/>
  <c r="AU43" i="7" a="1"/>
  <c r="AU43" i="7" s="1"/>
  <c r="AT43" i="7" a="1"/>
  <c r="AT43" i="7" s="1"/>
  <c r="AS42" i="7"/>
  <c r="AU41" i="7" a="1"/>
  <c r="AU41" i="7" s="1"/>
  <c r="AT41" i="7" a="1"/>
  <c r="AT41" i="7" s="1"/>
  <c r="AS40" i="7"/>
  <c r="AS39" i="7"/>
  <c r="AS38" i="7"/>
  <c r="AU37" i="7" a="1"/>
  <c r="AU37" i="7" s="1"/>
  <c r="AT37" i="7" a="1"/>
  <c r="AT37" i="7" s="1"/>
  <c r="AU36" i="7" a="1"/>
  <c r="AU36" i="7" s="1"/>
  <c r="AT36" i="7" a="1"/>
  <c r="AT36" i="7" s="1"/>
  <c r="AU35" i="7" a="1"/>
  <c r="AU35" i="7" s="1"/>
  <c r="AT35" i="7" a="1"/>
  <c r="AT35" i="7" s="1"/>
  <c r="AS34" i="7"/>
  <c r="AT25" i="8"/>
  <c r="AT24" i="8"/>
  <c r="AV23" i="8" a="1"/>
  <c r="AV23" i="8" s="1"/>
  <c r="AU23" i="8" a="1"/>
  <c r="AU23" i="8" s="1"/>
  <c r="AT22" i="8"/>
  <c r="AT21" i="8"/>
  <c r="AT20" i="8"/>
  <c r="AT19" i="8"/>
  <c r="AT18" i="8"/>
  <c r="AT17" i="8"/>
  <c r="AT16" i="8"/>
  <c r="AV14" i="8" a="1"/>
  <c r="AV14" i="8" s="1"/>
  <c r="AU14" i="8" a="1"/>
  <c r="AU14" i="8" s="1"/>
  <c r="AT13" i="8"/>
  <c r="AV12" i="8" a="1"/>
  <c r="AV12" i="8" s="1"/>
  <c r="AU12" i="8" a="1"/>
  <c r="AU12" i="8" s="1"/>
  <c r="AT11" i="8"/>
  <c r="AT10" i="8"/>
  <c r="AT9" i="8"/>
  <c r="AV8" i="8" a="1"/>
  <c r="AV8" i="8" s="1"/>
  <c r="AU8" i="8" a="1"/>
  <c r="AU8" i="8" s="1"/>
  <c r="AV7" i="8" a="1"/>
  <c r="AV7" i="8" s="1"/>
  <c r="AU7" i="8" a="1"/>
  <c r="AU7" i="8" s="1"/>
  <c r="AV6" i="8" a="1"/>
  <c r="AV6" i="8" s="1"/>
  <c r="AU6" i="8" a="1"/>
  <c r="AU6" i="8" s="1"/>
  <c r="AE26" i="8"/>
  <c r="AI26" i="8"/>
  <c r="AT5" i="8"/>
  <c r="AW5" i="8" s="1"/>
  <c r="AP15" i="7"/>
  <c r="AH25" i="7"/>
  <c r="AR15" i="7"/>
  <c r="AL25" i="7"/>
  <c r="AS23" i="7"/>
  <c r="AS13" i="7"/>
  <c r="AV5" i="7" s="1"/>
  <c r="AW5" i="7" s="1"/>
  <c r="AX5" i="7" s="1"/>
  <c r="AS24" i="7"/>
  <c r="AS12" i="7"/>
  <c r="AS11" i="7"/>
  <c r="AS22" i="7"/>
  <c r="AS21" i="7"/>
  <c r="AS20" i="7"/>
  <c r="AS19" i="7"/>
  <c r="AS18" i="7"/>
  <c r="AU17" i="7" a="1"/>
  <c r="AU17" i="7" s="1"/>
  <c r="AT17" i="7" a="1"/>
  <c r="AT17" i="7" s="1"/>
  <c r="AS16" i="7"/>
  <c r="AS15" i="7"/>
  <c r="AV15" i="7" s="1"/>
  <c r="AW15" i="7" s="1"/>
  <c r="AX15" i="7" s="1"/>
  <c r="AS10" i="7"/>
  <c r="AS9" i="7"/>
  <c r="AS8" i="7"/>
  <c r="AS7" i="7"/>
  <c r="AU6" i="7" a="1"/>
  <c r="AU6" i="7" s="1"/>
  <c r="AT6" i="7" a="1"/>
  <c r="AT6" i="7" s="1"/>
  <c r="AS5" i="7"/>
  <c r="AS5" i="3"/>
  <c r="AU5" i="3" s="1" a="1"/>
  <c r="AU5" i="3" s="1"/>
  <c r="AS7" i="3"/>
  <c r="AS22" i="3"/>
  <c r="AU22" i="3" s="1" a="1"/>
  <c r="AU22" i="3" s="1"/>
  <c r="AS21" i="3"/>
  <c r="AU21" i="3" s="1" a="1"/>
  <c r="AU21" i="3" s="1"/>
  <c r="AS20" i="3"/>
  <c r="AU20" i="3" s="1" a="1"/>
  <c r="AU20" i="3" s="1"/>
  <c r="AS18" i="3"/>
  <c r="AU18" i="3" s="1" a="1"/>
  <c r="AU18" i="3" s="1"/>
  <c r="AS17" i="3"/>
  <c r="AU17" i="3" s="1" a="1"/>
  <c r="AU17" i="3" s="1"/>
  <c r="AS16" i="3"/>
  <c r="AU16" i="3" s="1" a="1"/>
  <c r="AU16" i="3" s="1"/>
  <c r="AS15" i="3"/>
  <c r="AU15" i="3" s="1" a="1"/>
  <c r="AU15" i="3" s="1"/>
  <c r="AS14" i="3"/>
  <c r="AU14" i="3" s="1" a="1"/>
  <c r="AU14" i="3" s="1"/>
  <c r="AS13" i="3"/>
  <c r="AU13" i="3" s="1" a="1"/>
  <c r="AU13" i="3" s="1"/>
  <c r="AS12" i="3"/>
  <c r="AU12" i="3" s="1" a="1"/>
  <c r="AU12" i="3" s="1"/>
  <c r="AS11" i="3"/>
  <c r="AS10" i="3"/>
  <c r="AU10" i="3" s="1" a="1"/>
  <c r="AU10" i="3" s="1"/>
  <c r="AS9" i="3"/>
  <c r="AS8" i="3"/>
  <c r="AU8" i="3" s="1" a="1"/>
  <c r="AU8" i="3" s="1"/>
  <c r="AU7" i="3" a="1"/>
  <c r="AU7" i="3" s="1"/>
  <c r="AS6" i="3"/>
  <c r="AU6" i="3" s="1" a="1"/>
  <c r="AU6" i="3" s="1"/>
  <c r="AS19" i="3"/>
  <c r="AU19" i="3" s="1" a="1"/>
  <c r="AU19" i="3" s="1"/>
  <c r="AS13" i="5"/>
  <c r="AS12" i="5"/>
  <c r="AS11" i="5"/>
  <c r="AS10" i="5"/>
  <c r="AS9" i="5"/>
  <c r="AU8" i="5" a="1"/>
  <c r="AU8" i="5" s="1"/>
  <c r="AT8" i="5" a="1"/>
  <c r="AT8" i="5" s="1"/>
  <c r="AU7" i="5" a="1"/>
  <c r="AU7" i="5" s="1"/>
  <c r="AT7" i="5" a="1"/>
  <c r="AT7" i="5" s="1"/>
  <c r="AS6" i="5"/>
  <c r="AS5" i="5"/>
  <c r="AV4" i="5"/>
  <c r="AU4" i="5" a="1"/>
  <c r="AU4" i="5" s="1"/>
  <c r="AT4" i="5" a="1"/>
  <c r="AT4" i="5" s="1"/>
  <c r="AV15" i="8" l="1" a="1"/>
  <c r="AV15" i="8" s="1"/>
  <c r="AU15" i="8" a="1"/>
  <c r="AU15" i="8" s="1"/>
  <c r="AW4" i="5"/>
  <c r="AX4" i="5" s="1"/>
  <c r="AV34" i="7"/>
  <c r="AW34" i="7" s="1"/>
  <c r="AX34" i="7" s="1"/>
  <c r="AU34" i="7" a="1"/>
  <c r="AU34" i="7" s="1"/>
  <c r="AT34" i="7" a="1"/>
  <c r="AT34" i="7" s="1"/>
  <c r="AU38" i="7" a="1"/>
  <c r="AU38" i="7" s="1"/>
  <c r="AT38" i="7" a="1"/>
  <c r="AT38" i="7" s="1"/>
  <c r="AU39" i="7" a="1"/>
  <c r="AU39" i="7" s="1"/>
  <c r="AT39" i="7" a="1"/>
  <c r="AT39" i="7" s="1"/>
  <c r="AU40" i="7" a="1"/>
  <c r="AU40" i="7" s="1"/>
  <c r="AT40" i="7" a="1"/>
  <c r="AT40" i="7" s="1"/>
  <c r="AU42" i="7" a="1"/>
  <c r="AU42" i="7" s="1"/>
  <c r="AT42" i="7" a="1"/>
  <c r="AT42" i="7" s="1"/>
  <c r="AV44" i="7"/>
  <c r="AW44" i="7" s="1"/>
  <c r="AX44" i="7" s="1"/>
  <c r="AU44" i="7" a="1"/>
  <c r="AU44" i="7" s="1"/>
  <c r="AT44" i="7" a="1"/>
  <c r="AT44" i="7" s="1"/>
  <c r="AU45" i="7" a="1"/>
  <c r="AU45" i="7" s="1"/>
  <c r="AT45" i="7" a="1"/>
  <c r="AT45" i="7" s="1"/>
  <c r="AU46" i="7" a="1"/>
  <c r="AU46" i="7" s="1"/>
  <c r="AT46" i="7" a="1"/>
  <c r="AT46" i="7" s="1"/>
  <c r="AU47" i="7" a="1"/>
  <c r="AU47" i="7" s="1"/>
  <c r="AT47" i="7" a="1"/>
  <c r="AT47" i="7" s="1"/>
  <c r="AU48" i="7" a="1"/>
  <c r="AU48" i="7" s="1"/>
  <c r="AT48" i="7" a="1"/>
  <c r="AT48" i="7" s="1"/>
  <c r="AU49" i="7" a="1"/>
  <c r="AU49" i="7" s="1"/>
  <c r="AT49" i="7" a="1"/>
  <c r="AT49" i="7" s="1"/>
  <c r="AU50" i="7" a="1"/>
  <c r="AU50" i="7" s="1"/>
  <c r="AT50" i="7" a="1"/>
  <c r="AT50" i="7" s="1"/>
  <c r="AU52" i="7" a="1"/>
  <c r="AU52" i="7" s="1"/>
  <c r="AT52" i="7" a="1"/>
  <c r="AT52" i="7" s="1"/>
  <c r="AU53" i="7" a="1"/>
  <c r="AU53" i="7" s="1"/>
  <c r="AT53" i="7" a="1"/>
  <c r="AT53" i="7" s="1"/>
  <c r="AX5" i="8"/>
  <c r="AY5" i="8" s="1"/>
  <c r="AV5" i="8" a="1"/>
  <c r="AV5" i="8" s="1"/>
  <c r="AU5" i="8" a="1"/>
  <c r="AU5" i="8" s="1"/>
  <c r="AV9" i="8" a="1"/>
  <c r="AV9" i="8" s="1"/>
  <c r="AU9" i="8" a="1"/>
  <c r="AU9" i="8" s="1"/>
  <c r="AV10" i="8" a="1"/>
  <c r="AV10" i="8" s="1"/>
  <c r="AU10" i="8" a="1"/>
  <c r="AU10" i="8" s="1"/>
  <c r="AV11" i="8" a="1"/>
  <c r="AV11" i="8" s="1"/>
  <c r="AU11" i="8" a="1"/>
  <c r="AU11" i="8" s="1"/>
  <c r="AV13" i="8" a="1"/>
  <c r="AV13" i="8" s="1"/>
  <c r="AU13" i="8" a="1"/>
  <c r="AU13" i="8" s="1"/>
  <c r="AW16" i="8"/>
  <c r="AX16" i="8" s="1"/>
  <c r="AY16" i="8" s="1"/>
  <c r="AV16" i="8" a="1"/>
  <c r="AV16" i="8" s="1"/>
  <c r="AU16" i="8" a="1"/>
  <c r="AU16" i="8" s="1"/>
  <c r="AV17" i="8" a="1"/>
  <c r="AV17" i="8" s="1"/>
  <c r="AU17" i="8" a="1"/>
  <c r="AU17" i="8" s="1"/>
  <c r="AV18" i="8" a="1"/>
  <c r="AV18" i="8" s="1"/>
  <c r="AU18" i="8" a="1"/>
  <c r="AU18" i="8" s="1"/>
  <c r="AV19" i="8" a="1"/>
  <c r="AV19" i="8" s="1"/>
  <c r="AU19" i="8" a="1"/>
  <c r="AU19" i="8" s="1"/>
  <c r="AV20" i="8" a="1"/>
  <c r="AV20" i="8" s="1"/>
  <c r="AU20" i="8" a="1"/>
  <c r="AU20" i="8" s="1"/>
  <c r="AV21" i="8" a="1"/>
  <c r="AV21" i="8" s="1"/>
  <c r="AU21" i="8" a="1"/>
  <c r="AU21" i="8" s="1"/>
  <c r="AV22" i="8" a="1"/>
  <c r="AV22" i="8" s="1"/>
  <c r="AU22" i="8" a="1"/>
  <c r="AU22" i="8" s="1"/>
  <c r="AV24" i="8" a="1"/>
  <c r="AV24" i="8" s="1"/>
  <c r="AU24" i="8" a="1"/>
  <c r="AU24" i="8" s="1"/>
  <c r="AV25" i="8" a="1"/>
  <c r="AV25" i="8" s="1"/>
  <c r="AU25" i="8" a="1"/>
  <c r="AU25" i="8" s="1"/>
  <c r="AU13" i="7" a="1"/>
  <c r="AU13" i="7" s="1"/>
  <c r="AT13" i="7" a="1"/>
  <c r="AT13" i="7" s="1"/>
  <c r="AU5" i="7" a="1"/>
  <c r="AU5" i="7" s="1"/>
  <c r="AT5" i="7" a="1"/>
  <c r="AT5" i="7" s="1"/>
  <c r="AU7" i="7" a="1"/>
  <c r="AU7" i="7" s="1"/>
  <c r="AT7" i="7" a="1"/>
  <c r="AT7" i="7" s="1"/>
  <c r="AU8" i="7" a="1"/>
  <c r="AU8" i="7" s="1"/>
  <c r="AT8" i="7" a="1"/>
  <c r="AT8" i="7" s="1"/>
  <c r="AU9" i="7" a="1"/>
  <c r="AU9" i="7" s="1"/>
  <c r="AT9" i="7" a="1"/>
  <c r="AT9" i="7" s="1"/>
  <c r="AU10" i="7" a="1"/>
  <c r="AU10" i="7" s="1"/>
  <c r="AT10" i="7" a="1"/>
  <c r="AT10" i="7" s="1"/>
  <c r="AU15" i="7" a="1"/>
  <c r="AU15" i="7" s="1"/>
  <c r="AT15" i="7" a="1"/>
  <c r="AT15" i="7" s="1"/>
  <c r="AU16" i="7" a="1"/>
  <c r="AU16" i="7" s="1"/>
  <c r="AT16" i="7" a="1"/>
  <c r="AT16" i="7" s="1"/>
  <c r="AU18" i="7" a="1"/>
  <c r="AU18" i="7" s="1"/>
  <c r="AT18" i="7" a="1"/>
  <c r="AT18" i="7" s="1"/>
  <c r="AU19" i="7" a="1"/>
  <c r="AU19" i="7" s="1"/>
  <c r="AT19" i="7" a="1"/>
  <c r="AT19" i="7" s="1"/>
  <c r="AU20" i="7" a="1"/>
  <c r="AU20" i="7" s="1"/>
  <c r="AT20" i="7" a="1"/>
  <c r="AT20" i="7" s="1"/>
  <c r="AU21" i="7" a="1"/>
  <c r="AU21" i="7" s="1"/>
  <c r="AT21" i="7" a="1"/>
  <c r="AT21" i="7" s="1"/>
  <c r="AU22" i="7" a="1"/>
  <c r="AU22" i="7" s="1"/>
  <c r="AT22" i="7" a="1"/>
  <c r="AT22" i="7" s="1"/>
  <c r="AU23" i="7" a="1"/>
  <c r="AU23" i="7" s="1"/>
  <c r="AT23" i="7" a="1"/>
  <c r="AT23" i="7" s="1"/>
  <c r="AU11" i="7" a="1"/>
  <c r="AU11" i="7" s="1"/>
  <c r="AT11" i="7" a="1"/>
  <c r="AT11" i="7" s="1"/>
  <c r="AU12" i="7" a="1"/>
  <c r="AU12" i="7" s="1"/>
  <c r="AT12" i="7" a="1"/>
  <c r="AT12" i="7" s="1"/>
  <c r="AU24" i="7" a="1"/>
  <c r="AU24" i="7" s="1"/>
  <c r="AT24" i="7" a="1"/>
  <c r="AT24" i="7" s="1"/>
  <c r="AU9" i="3" a="1"/>
  <c r="AU9" i="3" s="1"/>
  <c r="AV5" i="3"/>
  <c r="AW5" i="3" s="1"/>
  <c r="AX5" i="3" s="1"/>
  <c r="AU11" i="3" a="1"/>
  <c r="AU11" i="3" s="1"/>
  <c r="AV11" i="3"/>
  <c r="AW11" i="3" s="1"/>
  <c r="AX11" i="3" s="1"/>
  <c r="AV19" i="3"/>
  <c r="AW19" i="3" s="1"/>
  <c r="AX19" i="3" s="1"/>
  <c r="AT5" i="3" a="1"/>
  <c r="AT5" i="3" s="1"/>
  <c r="AU5" i="5" a="1"/>
  <c r="AU5" i="5" s="1"/>
  <c r="AT5" i="5" a="1"/>
  <c r="AT5" i="5" s="1"/>
  <c r="AU6" i="5" a="1"/>
  <c r="AU6" i="5" s="1"/>
  <c r="AT6" i="5" a="1"/>
  <c r="AT6" i="5" s="1"/>
  <c r="AV9" i="5"/>
  <c r="AW9" i="5" s="1"/>
  <c r="AX9" i="5" s="1"/>
  <c r="AU9" i="5" a="1"/>
  <c r="AU9" i="5" s="1"/>
  <c r="AT9" i="5" a="1"/>
  <c r="AT9" i="5" s="1"/>
  <c r="AU10" i="5" a="1"/>
  <c r="AU10" i="5" s="1"/>
  <c r="AT10" i="5" a="1"/>
  <c r="AT10" i="5" s="1"/>
  <c r="AU11" i="5" a="1"/>
  <c r="AU11" i="5" s="1"/>
  <c r="AT11" i="5" a="1"/>
  <c r="AT11" i="5" s="1"/>
  <c r="AV12" i="5"/>
  <c r="AW12" i="5" s="1"/>
  <c r="AX12" i="5" s="1"/>
  <c r="AU12" i="5" a="1"/>
  <c r="AU12" i="5" s="1"/>
  <c r="AT12" i="5" a="1"/>
  <c r="AT12" i="5" s="1"/>
  <c r="AU13" i="5" a="1"/>
  <c r="AU13" i="5" s="1"/>
  <c r="AT13" i="5" a="1"/>
  <c r="AT13" i="5" s="1"/>
  <c r="AT6" i="3" a="1"/>
  <c r="AT6" i="3" s="1"/>
  <c r="AT7" i="3" a="1"/>
  <c r="AT7" i="3" s="1"/>
  <c r="AT8" i="3" a="1"/>
  <c r="AT8" i="3" s="1"/>
  <c r="AT9" i="3" a="1"/>
  <c r="AT9" i="3" s="1"/>
  <c r="AT10" i="3" a="1"/>
  <c r="AT10" i="3" s="1"/>
  <c r="AT11" i="3" a="1"/>
  <c r="AT11" i="3" s="1"/>
  <c r="AT12" i="3" a="1"/>
  <c r="AT12" i="3" s="1"/>
  <c r="AT13" i="3" a="1"/>
  <c r="AT13" i="3" s="1"/>
  <c r="AT14" i="3" a="1"/>
  <c r="AT14" i="3" s="1"/>
  <c r="AT15" i="3" a="1"/>
  <c r="AT15" i="3" s="1"/>
  <c r="AT16" i="3" a="1"/>
  <c r="AT16" i="3" s="1"/>
  <c r="AT17" i="3" a="1"/>
  <c r="AT17" i="3" s="1"/>
  <c r="AT18" i="3" a="1"/>
  <c r="AT18" i="3" s="1"/>
  <c r="AT19" i="3" a="1"/>
  <c r="AT19" i="3" s="1"/>
  <c r="AT20" i="3" a="1"/>
  <c r="AT20" i="3" s="1"/>
  <c r="AT21" i="3" a="1"/>
  <c r="AT21" i="3" s="1"/>
  <c r="AT22" i="3" a="1"/>
  <c r="AT2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<sst xmlns="http://schemas.openxmlformats.org/spreadsheetml/2006/main" count="404" uniqueCount="79">
  <si>
    <t>OCTUBRE</t>
  </si>
  <si>
    <t>NOVIEMBRE</t>
  </si>
  <si>
    <t>DICIEMBRE</t>
  </si>
  <si>
    <t>META VS CUMPLIMIENTO</t>
  </si>
  <si>
    <t>CUMPLIMIENTO</t>
  </si>
  <si>
    <t>RESULTADO Q1</t>
  </si>
  <si>
    <t>RESULTADO Q4 ESPECIALISTA</t>
  </si>
  <si>
    <t>BONO CORESPONDIENTE MXN</t>
  </si>
  <si>
    <t>BONO CORESPONDIENTE COP</t>
  </si>
  <si>
    <t>ESPECIALISTA</t>
  </si>
  <si>
    <t>ALIADO</t>
  </si>
  <si>
    <t>VENTAS</t>
  </si>
  <si>
    <t>DEMOS P</t>
  </si>
  <si>
    <t>DEMOS G</t>
  </si>
  <si>
    <t>CERTIF. PILOTOS</t>
  </si>
  <si>
    <t>COMPRA $ REFACCIONES</t>
  </si>
  <si>
    <t>CARTAS CLIENTE FINAL</t>
  </si>
  <si>
    <t>META VENTAS</t>
  </si>
  <si>
    <t>RESUL. VENTAS</t>
  </si>
  <si>
    <t>FAC. VENTA DRONES</t>
  </si>
  <si>
    <t>META DEMOS P</t>
  </si>
  <si>
    <t>RESUL. DEMOS P</t>
  </si>
  <si>
    <t>META DEMOS G</t>
  </si>
  <si>
    <t>RESUL. DEMOS G</t>
  </si>
  <si>
    <t>META CERTIF. PILOTOS</t>
  </si>
  <si>
    <t>RESUL. CERTIF. PILOTOS</t>
  </si>
  <si>
    <t>META COMP. REFAC</t>
  </si>
  <si>
    <t>RESUL. COMP. REFAC</t>
  </si>
  <si>
    <t>META CARTAS C.FINAL</t>
  </si>
  <si>
    <t>RESUL. CARTAS C.FINAL</t>
  </si>
  <si>
    <t>R. VENTAS 50%</t>
  </si>
  <si>
    <t>R. DEMOS 20%</t>
  </si>
  <si>
    <t>R. CERTIF. PILOTOS 10%</t>
  </si>
  <si>
    <t>R. COMPRA REFAC 10%</t>
  </si>
  <si>
    <t>R. CARTAS C.FINAL 10%</t>
  </si>
  <si>
    <t>EVALUACION Q1</t>
  </si>
  <si>
    <t>CATEGORIA</t>
  </si>
  <si>
    <t>% REBATE</t>
  </si>
  <si>
    <t>T25P</t>
  </si>
  <si>
    <t>T70P</t>
  </si>
  <si>
    <t>T100</t>
  </si>
  <si>
    <t>MANUEL ALEJANDRO CHAVARRO ARTEAGA</t>
  </si>
  <si>
    <t>HELIDRONES</t>
  </si>
  <si>
    <t>INNOVA DRON</t>
  </si>
  <si>
    <t>SERVIINOVA</t>
  </si>
  <si>
    <t>AGROETEK</t>
  </si>
  <si>
    <t>DRONMAG</t>
  </si>
  <si>
    <t>WILMER DAVID GARCIA VALENZUELA</t>
  </si>
  <si>
    <t>SIATC</t>
  </si>
  <si>
    <t>DRONES PIEDEMONTE</t>
  </si>
  <si>
    <t>DRONE DEPOT</t>
  </si>
  <si>
    <t xml:space="preserve">MARIO CELIS </t>
  </si>
  <si>
    <t>ADN AGRICULTURA</t>
  </si>
  <si>
    <t>ACRE</t>
  </si>
  <si>
    <t>ENERO</t>
  </si>
  <si>
    <t>FEBRERO</t>
  </si>
  <si>
    <t>MARZO</t>
  </si>
  <si>
    <t>CUMPLIMIENTO ESPECIALISTA</t>
  </si>
  <si>
    <t>DICOL</t>
  </si>
  <si>
    <t>MAPAGRO</t>
  </si>
  <si>
    <t>AGROPECUARIA AGROUNION</t>
  </si>
  <si>
    <t>DRONTEC</t>
  </si>
  <si>
    <t>AGRODRONES TECHNOLOGY R&amp;L</t>
  </si>
  <si>
    <t>ELECTRICOS AVAL</t>
  </si>
  <si>
    <t>POLARIS DRONE</t>
  </si>
  <si>
    <t>MARIO ALEJANDRO CELIS TORRES</t>
  </si>
  <si>
    <t>ROYAL CONDOR</t>
  </si>
  <si>
    <t>SAF</t>
  </si>
  <si>
    <t>ABRIL</t>
  </si>
  <si>
    <t>MAYO</t>
  </si>
  <si>
    <t>JUNIO</t>
  </si>
  <si>
    <t>BONO</t>
  </si>
  <si>
    <t>RURAL TECH</t>
  </si>
  <si>
    <t>AGROSMART</t>
  </si>
  <si>
    <t>JULIO</t>
  </si>
  <si>
    <t>AGOSTO</t>
  </si>
  <si>
    <t>SEPTIEMBRE</t>
  </si>
  <si>
    <t>T55</t>
  </si>
  <si>
    <t>AERODRONEX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</si>
</sst>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#,##0.00\ &quot;€&quot;"/>
    <numFmt numFmtId="166" formatCode="_-[$$-409]* #,##0.00_ ;_-[$$-409]* \-#,##0.00\ ;_-[$$-409]* &quot;-&quot;??_ ;_-@_ 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9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CFCE8"/>
        <bgColor indexed="64"/>
      </patternFill>
    </fill>
    <fill>
      <patternFill patternType="solid">
        <fgColor rgb="FFEDF8FA"/>
        <bgColor indexed="64"/>
      </patternFill>
    </fill>
    <fill>
      <patternFill patternType="solid">
        <fgColor rgb="FFFFE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9CFC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0" xfId="0" applyAlignment="1">
      <alignment vertical="center"/>
    </xf>
    <xf numFmtId="0" fontId="0" fillId="2" borderId="3" xfId="0" applyFill="1" applyBorder="1"/>
    <xf numFmtId="0" fontId="0" fillId="2" borderId="5" xfId="0" applyFill="1" applyBorder="1"/>
    <xf numFmtId="0" fontId="0" fillId="3" borderId="3" xfId="0" applyFill="1" applyBorder="1"/>
    <xf numFmtId="0" fontId="0" fillId="3" borderId="5" xfId="0" applyFill="1" applyBorder="1"/>
    <xf numFmtId="0" fontId="0" fillId="4" borderId="3" xfId="0" applyFill="1" applyBorder="1"/>
    <xf numFmtId="0" fontId="0" fillId="4" borderId="5" xfId="0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3" xfId="0" applyFont="1" applyFill="1" applyBorder="1" applyAlignment="1">
      <alignment wrapText="1"/>
    </xf>
    <xf numFmtId="0" fontId="1" fillId="4" borderId="3" xfId="0" applyFont="1" applyFill="1" applyBorder="1"/>
    <xf numFmtId="0" fontId="0" fillId="5" borderId="3" xfId="0" applyFill="1" applyBorder="1"/>
    <xf numFmtId="0" fontId="1" fillId="6" borderId="4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6" fontId="0" fillId="4" borderId="3" xfId="0" applyNumberFormat="1" applyFill="1" applyBorder="1" applyAlignment="1">
      <alignment horizontal="center" vertical="center"/>
    </xf>
    <xf numFmtId="165" fontId="0" fillId="4" borderId="3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9" fontId="0" fillId="3" borderId="3" xfId="0" applyNumberFormat="1" applyFill="1" applyBorder="1" applyAlignment="1">
      <alignment horizontal="center" vertical="center"/>
    </xf>
    <xf numFmtId="9" fontId="0" fillId="4" borderId="3" xfId="0" applyNumberForma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 wrapText="1"/>
    </xf>
    <xf numFmtId="9" fontId="0" fillId="3" borderId="5" xfId="0" applyNumberForma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left" vertical="center"/>
    </xf>
    <xf numFmtId="0" fontId="1" fillId="11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/>
    </xf>
    <xf numFmtId="0" fontId="0" fillId="11" borderId="4" xfId="0" applyFont="1" applyFill="1" applyBorder="1" applyAlignment="1">
      <alignment horizontal="center"/>
    </xf>
    <xf numFmtId="0" fontId="0" fillId="11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9" fontId="0" fillId="2" borderId="5" xfId="0" applyNumberFormat="1" applyFill="1" applyBorder="1" applyAlignment="1">
      <alignment horizontal="center" vertical="center" wrapText="1"/>
    </xf>
    <xf numFmtId="10" fontId="0" fillId="3" borderId="3" xfId="0" applyNumberFormat="1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/>
    </xf>
    <xf numFmtId="10" fontId="0" fillId="4" borderId="5" xfId="0" applyNumberFormat="1" applyFill="1" applyBorder="1" applyAlignment="1">
      <alignment horizontal="center" vertical="center"/>
    </xf>
    <xf numFmtId="164" fontId="1" fillId="11" borderId="2" xfId="0" applyNumberFormat="1" applyFont="1" applyFill="1" applyBorder="1" applyAlignment="1">
      <alignment horizontal="center" vertical="center" wrapText="1"/>
    </xf>
    <xf numFmtId="164" fontId="0" fillId="3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wrapText="1"/>
    </xf>
    <xf numFmtId="164" fontId="0" fillId="2" borderId="3" xfId="0" applyNumberFormat="1" applyFill="1" applyBorder="1"/>
    <xf numFmtId="164" fontId="0" fillId="3" borderId="3" xfId="0" applyNumberFormat="1" applyFill="1" applyBorder="1"/>
    <xf numFmtId="164" fontId="0" fillId="4" borderId="3" xfId="0" applyNumberFormat="1" applyFill="1" applyBorder="1"/>
    <xf numFmtId="164" fontId="1" fillId="11" borderId="1" xfId="0" applyNumberFormat="1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vertical="center"/>
    </xf>
    <xf numFmtId="0" fontId="0" fillId="2" borderId="3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164" fontId="3" fillId="2" borderId="3" xfId="0" applyNumberFormat="1" applyFont="1" applyFill="1" applyBorder="1" applyAlignment="1"/>
    <xf numFmtId="164" fontId="2" fillId="3" borderId="3" xfId="0" applyNumberFormat="1" applyFont="1" applyFill="1" applyBorder="1" applyAlignment="1"/>
    <xf numFmtId="164" fontId="0" fillId="2" borderId="3" xfId="0" applyNumberFormat="1" applyFill="1" applyBorder="1" applyAlignment="1">
      <alignment vertical="center"/>
    </xf>
    <xf numFmtId="0" fontId="0" fillId="12" borderId="3" xfId="0" applyFill="1" applyBorder="1" applyAlignment="1">
      <alignment horizontal="center" vertical="center"/>
    </xf>
    <xf numFmtId="10" fontId="0" fillId="4" borderId="3" xfId="0" applyNumberFormat="1" applyFill="1" applyBorder="1" applyAlignment="1">
      <alignment horizontal="center" vertical="center" wrapText="1"/>
    </xf>
    <xf numFmtId="9" fontId="0" fillId="4" borderId="3" xfId="0" applyNumberFormat="1" applyFill="1" applyBorder="1" applyAlignment="1">
      <alignment horizontal="center" vertical="center" wrapText="1"/>
    </xf>
    <xf numFmtId="166" fontId="0" fillId="2" borderId="3" xfId="0" applyNumberFormat="1" applyFill="1" applyBorder="1" applyAlignment="1">
      <alignment vertical="center"/>
    </xf>
    <xf numFmtId="164" fontId="2" fillId="2" borderId="0" xfId="0" applyNumberFormat="1" applyFont="1" applyFill="1" applyAlignment="1">
      <alignment wrapText="1"/>
    </xf>
    <xf numFmtId="164" fontId="0" fillId="0" borderId="0" xfId="0" applyNumberFormat="1"/>
    <xf numFmtId="164" fontId="3" fillId="2" borderId="3" xfId="0" applyNumberFormat="1" applyFont="1" applyFill="1" applyBorder="1"/>
    <xf numFmtId="0" fontId="0" fillId="0" borderId="0" xfId="0" applyAlignment="1">
      <alignment horizontal="center"/>
    </xf>
    <xf numFmtId="9" fontId="0" fillId="3" borderId="3" xfId="0" applyNumberFormat="1" applyFill="1" applyBorder="1" applyAlignment="1">
      <alignment horizontal="center" vertical="center" wrapText="1"/>
    </xf>
    <xf numFmtId="9" fontId="0" fillId="3" borderId="5" xfId="0" applyNumberFormat="1" applyFill="1" applyBorder="1" applyAlignment="1">
      <alignment horizontal="center" vertical="center" wrapText="1"/>
    </xf>
    <xf numFmtId="9" fontId="0" fillId="4" borderId="5" xfId="0" applyNumberForma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right" vertical="center" wrapText="1"/>
    </xf>
    <xf numFmtId="164" fontId="0" fillId="2" borderId="3" xfId="0" applyNumberFormat="1" applyFill="1" applyBorder="1" applyAlignment="1">
      <alignment horizontal="right"/>
    </xf>
    <xf numFmtId="0" fontId="0" fillId="4" borderId="1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13" borderId="8" xfId="0" applyNumberFormat="1" applyFill="1" applyBorder="1" applyAlignment="1">
      <alignment horizontal="center"/>
    </xf>
    <xf numFmtId="0" fontId="0" fillId="13" borderId="8" xfId="0" applyFill="1" applyBorder="1"/>
    <xf numFmtId="0" fontId="0" fillId="13" borderId="8" xfId="0" applyFill="1" applyBorder="1" applyAlignment="1">
      <alignment horizontal="center" vertical="center"/>
    </xf>
    <xf numFmtId="164" fontId="1" fillId="11" borderId="14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11" borderId="7" xfId="0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0" fillId="4" borderId="5" xfId="0" applyNumberFormat="1" applyFill="1" applyBorder="1" applyAlignment="1">
      <alignment vertical="center"/>
    </xf>
    <xf numFmtId="164" fontId="0" fillId="2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right" wrapText="1"/>
    </xf>
    <xf numFmtId="164" fontId="2" fillId="3" borderId="3" xfId="0" applyNumberFormat="1" applyFont="1" applyFill="1" applyBorder="1" applyAlignment="1">
      <alignment wrapText="1"/>
    </xf>
    <xf numFmtId="0" fontId="0" fillId="15" borderId="1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1" fillId="13" borderId="0" xfId="0" applyFont="1" applyFill="1" applyAlignment="1">
      <alignment horizontal="center" vertical="center"/>
    </xf>
    <xf numFmtId="166" fontId="0" fillId="0" borderId="0" xfId="0" applyNumberFormat="1"/>
    <xf numFmtId="166" fontId="0" fillId="2" borderId="4" xfId="0" applyNumberFormat="1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0" fontId="0" fillId="11" borderId="3" xfId="0" applyFont="1" applyFill="1" applyBorder="1" applyAlignment="1"/>
    <xf numFmtId="0" fontId="1" fillId="11" borderId="3" xfId="0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3" xfId="0" applyFill="1" applyBorder="1" applyAlignment="1"/>
    <xf numFmtId="0" fontId="0" fillId="2" borderId="5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5" xfId="0" applyFill="1" applyBorder="1" applyAlignment="1"/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11" borderId="3" xfId="0" applyFont="1" applyFill="1" applyBorder="1" applyAlignment="1"/>
    <xf numFmtId="164" fontId="0" fillId="2" borderId="3" xfId="0" applyNumberFormat="1" applyFill="1" applyBorder="1" applyAlignment="1">
      <alignment horizontal="right" wrapText="1"/>
    </xf>
    <xf numFmtId="164" fontId="0" fillId="3" borderId="3" xfId="0" applyNumberForma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1" fillId="11" borderId="3" xfId="0" applyFont="1" applyFill="1" applyBorder="1" applyAlignment="1">
      <alignment horizontal="right" vertical="center" wrapText="1"/>
    </xf>
    <xf numFmtId="0" fontId="1" fillId="13" borderId="8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164" fontId="1" fillId="13" borderId="8" xfId="0" applyNumberFormat="1" applyFont="1" applyFill="1" applyBorder="1" applyAlignment="1">
      <alignment horizontal="center" vertical="center"/>
    </xf>
    <xf numFmtId="164" fontId="1" fillId="16" borderId="8" xfId="0" applyNumberFormat="1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164" fontId="1" fillId="17" borderId="8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wrapText="1"/>
    </xf>
    <xf numFmtId="164" fontId="0" fillId="3" borderId="3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0" fontId="6" fillId="0" borderId="0" xfId="0" applyFont="1"/>
    <xf numFmtId="164" fontId="0" fillId="0" borderId="0" xfId="0" applyNumberFormat="1" applyAlignment="1">
      <alignment horizontal="center" vertical="center"/>
    </xf>
    <xf numFmtId="164" fontId="2" fillId="2" borderId="1" xfId="0" applyNumberFormat="1" applyFont="1" applyFill="1" applyBorder="1" applyAlignment="1">
      <alignment wrapText="1"/>
    </xf>
    <xf numFmtId="164" fontId="0" fillId="4" borderId="4" xfId="0" applyNumberFormat="1" applyFill="1" applyBorder="1" applyAlignment="1">
      <alignment horizontal="center" vertical="center"/>
    </xf>
    <xf numFmtId="0" fontId="7" fillId="0" borderId="18" xfId="0" applyFont="1" applyFill="1" applyBorder="1" applyAlignment="1"/>
    <xf numFmtId="0" fontId="1" fillId="8" borderId="3" xfId="0" applyFont="1" applyFill="1" applyBorder="1" applyAlignment="1">
      <alignment vertical="center" wrapText="1"/>
    </xf>
    <xf numFmtId="0" fontId="0" fillId="11" borderId="3" xfId="0" applyFont="1" applyFill="1" applyBorder="1" applyAlignment="1">
      <alignment horizontal="center" vertical="center"/>
    </xf>
    <xf numFmtId="164" fontId="0" fillId="2" borderId="10" xfId="0" applyNumberFormat="1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164" fontId="0" fillId="2" borderId="9" xfId="0" applyNumberFormat="1" applyFont="1" applyFill="1" applyBorder="1" applyAlignment="1">
      <alignment horizontal="center" vertical="center" wrapText="1"/>
    </xf>
    <xf numFmtId="164" fontId="0" fillId="2" borderId="10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9" fontId="0" fillId="3" borderId="9" xfId="0" applyNumberFormat="1" applyFill="1" applyBorder="1" applyAlignment="1">
      <alignment horizontal="center" vertical="center" wrapText="1"/>
    </xf>
    <xf numFmtId="9" fontId="0" fillId="3" borderId="10" xfId="0" applyNumberFormat="1" applyFill="1" applyBorder="1" applyAlignment="1">
      <alignment horizontal="center" vertical="center" wrapText="1"/>
    </xf>
    <xf numFmtId="9" fontId="0" fillId="3" borderId="11" xfId="0" applyNumberFormat="1" applyFill="1" applyBorder="1" applyAlignment="1">
      <alignment horizontal="center" vertical="center" wrapText="1"/>
    </xf>
    <xf numFmtId="164" fontId="0" fillId="3" borderId="17" xfId="0" applyNumberFormat="1" applyFill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 wrapText="1"/>
    </xf>
    <xf numFmtId="164" fontId="0" fillId="3" borderId="11" xfId="0" applyNumberForma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9" fontId="0" fillId="2" borderId="9" xfId="0" applyNumberFormat="1" applyFill="1" applyBorder="1" applyAlignment="1">
      <alignment horizontal="center" vertical="center" wrapText="1"/>
    </xf>
    <xf numFmtId="9" fontId="0" fillId="2" borderId="10" xfId="0" applyNumberFormat="1" applyFill="1" applyBorder="1" applyAlignment="1">
      <alignment horizontal="center" vertical="center" wrapText="1"/>
    </xf>
    <xf numFmtId="9" fontId="0" fillId="2" borderId="11" xfId="0" applyNumberForma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vertical="center"/>
    </xf>
    <xf numFmtId="0" fontId="1" fillId="9" borderId="5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0" fillId="13" borderId="8" xfId="0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wrapText="1"/>
    </xf>
    <xf numFmtId="0" fontId="0" fillId="13" borderId="0" xfId="0" applyFill="1" applyAlignment="1">
      <alignment horizontal="center" wrapText="1"/>
    </xf>
    <xf numFmtId="0" fontId="1" fillId="8" borderId="3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0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9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9" fontId="1" fillId="3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9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14" borderId="12" xfId="0" applyFont="1" applyFill="1" applyBorder="1" applyAlignment="1">
      <alignment horizontal="center" vertical="center" wrapText="1"/>
    </xf>
    <xf numFmtId="9" fontId="0" fillId="3" borderId="8" xfId="0" applyNumberFormat="1" applyFill="1" applyBorder="1" applyAlignment="1">
      <alignment horizontal="center" vertical="center" wrapText="1"/>
    </xf>
    <xf numFmtId="9" fontId="0" fillId="4" borderId="11" xfId="0" applyNumberFormat="1" applyFill="1" applyBorder="1" applyAlignment="1">
      <alignment horizontal="center" vertical="center" wrapText="1"/>
    </xf>
    <xf numFmtId="9" fontId="0" fillId="4" borderId="8" xfId="0" applyNumberFormat="1" applyFill="1" applyBorder="1" applyAlignment="1">
      <alignment horizontal="center" vertical="center" wrapText="1"/>
    </xf>
    <xf numFmtId="166" fontId="0" fillId="4" borderId="10" xfId="0" applyNumberFormat="1" applyFill="1" applyBorder="1" applyAlignment="1">
      <alignment horizontal="center" vertical="center" wrapText="1"/>
    </xf>
    <xf numFmtId="166" fontId="0" fillId="4" borderId="11" xfId="0" applyNumberFormat="1" applyFill="1" applyBorder="1" applyAlignment="1">
      <alignment horizontal="center" vertical="center" wrapText="1"/>
    </xf>
    <xf numFmtId="166" fontId="0" fillId="4" borderId="8" xfId="0" applyNumberFormat="1" applyFill="1" applyBorder="1" applyAlignment="1">
      <alignment horizontal="center" vertical="center" wrapText="1"/>
    </xf>
    <xf numFmtId="164" fontId="0" fillId="2" borderId="9" xfId="0" applyNumberFormat="1" applyFont="1" applyFill="1" applyBorder="1" applyAlignment="1">
      <alignment vertical="center" wrapText="1"/>
    </xf>
    <xf numFmtId="164" fontId="0" fillId="2" borderId="10" xfId="0" applyNumberFormat="1" applyFont="1" applyFill="1" applyBorder="1" applyAlignment="1">
      <alignment vertical="center" wrapText="1"/>
    </xf>
    <xf numFmtId="164" fontId="0" fillId="2" borderId="11" xfId="0" applyNumberFormat="1" applyFont="1" applyFill="1" applyBorder="1" applyAlignment="1">
      <alignment vertical="center" wrapText="1"/>
    </xf>
    <xf numFmtId="166" fontId="0" fillId="3" borderId="9" xfId="0" applyNumberFormat="1" applyFill="1" applyBorder="1" applyAlignment="1">
      <alignment horizontal="center" vertical="center" wrapText="1"/>
    </xf>
    <xf numFmtId="166" fontId="0" fillId="3" borderId="10" xfId="0" applyNumberFormat="1" applyFill="1" applyBorder="1" applyAlignment="1">
      <alignment horizontal="center" vertical="center" wrapText="1"/>
    </xf>
    <xf numFmtId="166" fontId="0" fillId="3" borderId="11" xfId="0" applyNumberFormat="1" applyFill="1" applyBorder="1" applyAlignment="1">
      <alignment horizontal="center" vertical="center" wrapText="1"/>
    </xf>
    <xf numFmtId="166" fontId="0" fillId="3" borderId="8" xfId="0" applyNumberFormat="1" applyFill="1" applyBorder="1" applyAlignment="1">
      <alignment horizontal="center" vertical="center" wrapText="1"/>
    </xf>
    <xf numFmtId="164" fontId="0" fillId="2" borderId="1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DF8FA"/>
      <color rgb="FFFCFCE8"/>
      <color rgb="FFFFFECC"/>
      <color rgb="FFFFEDED"/>
      <color rgb="FFFFE8E8"/>
      <color rgb="FFC581DE"/>
      <color rgb="FF69C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F445-4EE4-4FAB-AD25-DC805593D5BC}">
  <dimension ref="A1:AY15"/>
  <sheetViews>
    <sheetView workbookViewId="0">
      <pane xSplit="2" ySplit="3" topLeftCell="AU4" activePane="bottomRight" state="frozen"/>
      <selection pane="bottomRight" activeCell="AW1" sqref="AW1:AX1048576"/>
      <selection pane="bottomLeft"/>
      <selection pane="topRight"/>
    </sheetView>
  </sheetViews>
  <sheetFormatPr defaultColWidth="9.140625"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6" max="6" width="9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4" max="15" width="9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2" max="24" width="9.140625" bestFit="1" customWidth="1"/>
    <col min="25" max="26" width="13.140625" customWidth="1"/>
    <col min="27" max="27" width="9.85546875" style="21" customWidth="1"/>
    <col min="28" max="28" width="9.28515625" style="21" customWidth="1"/>
    <col min="29" max="29" width="15.28515625" style="21" customWidth="1"/>
    <col min="30" max="30" width="8.5703125" style="21" customWidth="1"/>
    <col min="31" max="31" width="9.7109375" style="21" customWidth="1"/>
    <col min="32" max="32" width="9.140625" style="21" bestFit="1" customWidth="1"/>
    <col min="33" max="33" width="9.42578125" style="21" customWidth="1"/>
    <col min="34" max="34" width="12.7109375" style="21" customWidth="1"/>
    <col min="35" max="35" width="14.28515625" style="21" customWidth="1"/>
    <col min="36" max="36" width="17.28515625" style="21" customWidth="1"/>
    <col min="37" max="37" width="18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bestFit="1" customWidth="1"/>
    <col min="48" max="48" width="12.7109375" customWidth="1"/>
    <col min="49" max="49" width="18.42578125" hidden="1" customWidth="1"/>
    <col min="50" max="50" width="17.85546875" hidden="1" customWidth="1"/>
  </cols>
  <sheetData>
    <row r="1" spans="1:51" ht="15" customHeight="1">
      <c r="A1" s="13"/>
      <c r="B1" s="13"/>
      <c r="C1" s="191" t="s">
        <v>0</v>
      </c>
      <c r="D1" s="192"/>
      <c r="E1" s="192"/>
      <c r="F1" s="192"/>
      <c r="G1" s="192"/>
      <c r="H1" s="192"/>
      <c r="I1" s="192"/>
      <c r="J1" s="193"/>
      <c r="K1" s="194" t="s">
        <v>1</v>
      </c>
      <c r="L1" s="194"/>
      <c r="M1" s="194"/>
      <c r="N1" s="194"/>
      <c r="O1" s="194"/>
      <c r="P1" s="194"/>
      <c r="Q1" s="194"/>
      <c r="R1" s="195"/>
      <c r="S1" s="205" t="s">
        <v>2</v>
      </c>
      <c r="T1" s="205"/>
      <c r="U1" s="205"/>
      <c r="V1" s="205"/>
      <c r="W1" s="205"/>
      <c r="X1" s="205"/>
      <c r="Y1" s="205"/>
      <c r="Z1" s="206"/>
      <c r="AA1" s="207" t="s">
        <v>3</v>
      </c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8"/>
      <c r="AN1" s="185" t="s">
        <v>4</v>
      </c>
      <c r="AO1" s="185"/>
      <c r="AP1" s="185"/>
      <c r="AQ1" s="185"/>
      <c r="AR1" s="200"/>
      <c r="AS1" s="214" t="s">
        <v>5</v>
      </c>
      <c r="AT1" s="214"/>
      <c r="AU1" s="214"/>
      <c r="AV1" s="213" t="s">
        <v>6</v>
      </c>
      <c r="AW1" s="213" t="s">
        <v>7</v>
      </c>
      <c r="AX1" s="213" t="s">
        <v>8</v>
      </c>
    </row>
    <row r="2" spans="1:51" s="1" customFormat="1" ht="30.75" customHeight="1">
      <c r="A2" s="196" t="s">
        <v>9</v>
      </c>
      <c r="B2" s="197" t="s">
        <v>10</v>
      </c>
      <c r="C2" s="198" t="s">
        <v>11</v>
      </c>
      <c r="D2" s="199"/>
      <c r="E2" s="199"/>
      <c r="F2" s="199" t="s">
        <v>12</v>
      </c>
      <c r="G2" s="199" t="s">
        <v>13</v>
      </c>
      <c r="H2" s="188" t="s">
        <v>14</v>
      </c>
      <c r="I2" s="189" t="s">
        <v>15</v>
      </c>
      <c r="J2" s="190" t="s">
        <v>16</v>
      </c>
      <c r="K2" s="185" t="s">
        <v>11</v>
      </c>
      <c r="L2" s="185"/>
      <c r="M2" s="185"/>
      <c r="N2" s="185" t="s">
        <v>12</v>
      </c>
      <c r="O2" s="185" t="s">
        <v>13</v>
      </c>
      <c r="P2" s="184" t="s">
        <v>14</v>
      </c>
      <c r="Q2" s="184" t="s">
        <v>15</v>
      </c>
      <c r="R2" s="187" t="s">
        <v>16</v>
      </c>
      <c r="S2" s="182" t="s">
        <v>11</v>
      </c>
      <c r="T2" s="182"/>
      <c r="U2" s="182"/>
      <c r="V2" s="182" t="s">
        <v>12</v>
      </c>
      <c r="W2" s="182" t="s">
        <v>13</v>
      </c>
      <c r="X2" s="183" t="s">
        <v>14</v>
      </c>
      <c r="Y2" s="183" t="s">
        <v>15</v>
      </c>
      <c r="Z2" s="210" t="s">
        <v>16</v>
      </c>
      <c r="AA2" s="177" t="s">
        <v>17</v>
      </c>
      <c r="AB2" s="177" t="s">
        <v>18</v>
      </c>
      <c r="AC2" s="178" t="s">
        <v>19</v>
      </c>
      <c r="AD2" s="177" t="s">
        <v>20</v>
      </c>
      <c r="AE2" s="177" t="s">
        <v>21</v>
      </c>
      <c r="AF2" s="177" t="s">
        <v>22</v>
      </c>
      <c r="AG2" s="177" t="s">
        <v>23</v>
      </c>
      <c r="AH2" s="177" t="s">
        <v>24</v>
      </c>
      <c r="AI2" s="177" t="s">
        <v>25</v>
      </c>
      <c r="AJ2" s="177" t="s">
        <v>26</v>
      </c>
      <c r="AK2" s="209" t="s">
        <v>27</v>
      </c>
      <c r="AL2" s="177" t="s">
        <v>28</v>
      </c>
      <c r="AM2" s="176" t="s">
        <v>29</v>
      </c>
      <c r="AN2" s="184" t="s">
        <v>30</v>
      </c>
      <c r="AO2" s="184" t="s">
        <v>31</v>
      </c>
      <c r="AP2" s="184" t="s">
        <v>32</v>
      </c>
      <c r="AQ2" s="186" t="s">
        <v>33</v>
      </c>
      <c r="AR2" s="187" t="s">
        <v>34</v>
      </c>
      <c r="AS2" s="180" t="s">
        <v>35</v>
      </c>
      <c r="AT2" s="180" t="s">
        <v>36</v>
      </c>
      <c r="AU2" s="215" t="s">
        <v>37</v>
      </c>
      <c r="AV2" s="213"/>
      <c r="AW2" s="213"/>
      <c r="AX2" s="213"/>
    </row>
    <row r="3" spans="1:51">
      <c r="A3" s="196"/>
      <c r="B3" s="197"/>
      <c r="C3" s="14" t="s">
        <v>38</v>
      </c>
      <c r="D3" s="15" t="s">
        <v>39</v>
      </c>
      <c r="E3" s="15" t="s">
        <v>40</v>
      </c>
      <c r="F3" s="199"/>
      <c r="G3" s="199"/>
      <c r="H3" s="188"/>
      <c r="I3" s="189"/>
      <c r="J3" s="190"/>
      <c r="K3" s="16" t="s">
        <v>38</v>
      </c>
      <c r="L3" s="16" t="s">
        <v>39</v>
      </c>
      <c r="M3" s="16" t="s">
        <v>40</v>
      </c>
      <c r="N3" s="185"/>
      <c r="O3" s="185"/>
      <c r="P3" s="184"/>
      <c r="Q3" s="184"/>
      <c r="R3" s="187"/>
      <c r="S3" s="17" t="s">
        <v>38</v>
      </c>
      <c r="T3" s="17" t="s">
        <v>39</v>
      </c>
      <c r="U3" s="17" t="s">
        <v>40</v>
      </c>
      <c r="V3" s="182"/>
      <c r="W3" s="182"/>
      <c r="X3" s="183"/>
      <c r="Y3" s="183"/>
      <c r="Z3" s="210"/>
      <c r="AA3" s="177"/>
      <c r="AB3" s="177"/>
      <c r="AC3" s="179"/>
      <c r="AD3" s="177"/>
      <c r="AE3" s="177"/>
      <c r="AF3" s="177"/>
      <c r="AG3" s="177"/>
      <c r="AH3" s="177"/>
      <c r="AI3" s="177"/>
      <c r="AJ3" s="177"/>
      <c r="AK3" s="209"/>
      <c r="AL3" s="177"/>
      <c r="AM3" s="176"/>
      <c r="AN3" s="184"/>
      <c r="AO3" s="185"/>
      <c r="AP3" s="184"/>
      <c r="AQ3" s="186"/>
      <c r="AR3" s="187"/>
      <c r="AS3" s="180"/>
      <c r="AT3" s="180"/>
      <c r="AU3" s="215"/>
      <c r="AV3" s="213"/>
      <c r="AW3" s="213"/>
      <c r="AX3" s="213"/>
    </row>
    <row r="4" spans="1:51">
      <c r="A4" s="216" t="s">
        <v>41</v>
      </c>
      <c r="B4" s="8" t="s">
        <v>42</v>
      </c>
      <c r="C4" s="39"/>
      <c r="D4" s="40"/>
      <c r="E4" s="40"/>
      <c r="F4" s="40"/>
      <c r="G4" s="40"/>
      <c r="H4" s="40"/>
      <c r="I4" s="54"/>
      <c r="J4" s="3"/>
      <c r="K4" s="2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2"/>
      <c r="Z4" s="3"/>
      <c r="AA4" s="18">
        <v>4</v>
      </c>
      <c r="AB4" s="18">
        <v>4</v>
      </c>
      <c r="AC4" s="72">
        <v>174070477</v>
      </c>
      <c r="AD4" s="18">
        <f>IF(AB4&lt;3,3,AB4)</f>
        <v>4</v>
      </c>
      <c r="AE4" s="18">
        <v>0</v>
      </c>
      <c r="AF4" s="18">
        <v>1</v>
      </c>
      <c r="AG4" s="18">
        <v>0</v>
      </c>
      <c r="AH4" s="18">
        <f>AB4</f>
        <v>4</v>
      </c>
      <c r="AI4" s="18">
        <v>2</v>
      </c>
      <c r="AJ4" s="22">
        <f>AC4*0.08</f>
        <v>13925638.16</v>
      </c>
      <c r="AK4" s="67">
        <v>8051185</v>
      </c>
      <c r="AL4" s="18">
        <f>AB4</f>
        <v>4</v>
      </c>
      <c r="AM4" s="94">
        <v>4</v>
      </c>
      <c r="AN4" s="26">
        <f>(AB4/AA4)*0.5</f>
        <v>0.5</v>
      </c>
      <c r="AO4" s="29">
        <f>IF(
 AND(AG4&lt;1,AE4&gt;=AD4),
 0.174,
 ((AG4+AE4)/AD4)*0.2
)</f>
        <v>0</v>
      </c>
      <c r="AP4" s="29">
        <f>(AI4/AH4)*0.1</f>
        <v>0.05</v>
      </c>
      <c r="AQ4" s="26">
        <f>(AK4/AJ4)*0.1</f>
        <v>5.7815555075430736E-2</v>
      </c>
      <c r="AR4" s="45">
        <f>(AM4/AL4)*0.1</f>
        <v>0.1</v>
      </c>
      <c r="AS4" s="26">
        <f>IFERROR(MIN(AN4,50%),0)+IFERROR(MIN(AO4,20%),0)+IFERROR(MIN(AP4,10%),0)+IFERROR(MIN(AQ4,10%),0)+IFERROR(MIN(AR4,10%),0)</f>
        <v>0.7078155550754307</v>
      </c>
      <c r="AT4" s="18" t="str" cm="1">
        <f t="array" ref="AT4">_xlfn.IFS(AS4&lt;60%,"C",AS4&gt;=60%,"B",AS4&gt;=80,"A")</f>
        <v>B</v>
      </c>
      <c r="AU4" s="26" cm="1">
        <f t="array" ref="AU4">_xlfn.IFS(AS4&lt;60%,0,AS4&gt;=60%,0.03,AS4&gt;=80,0.05)</f>
        <v>0.03</v>
      </c>
      <c r="AV4" s="229">
        <f>AVERAGE(AS4:AS8)</f>
        <v>0.73987556001582355</v>
      </c>
      <c r="AW4" s="222">
        <f>10000*AV4</f>
        <v>7398.7556001582352</v>
      </c>
      <c r="AX4" s="222">
        <f>AW4*216</f>
        <v>1598131.2096341788</v>
      </c>
    </row>
    <row r="5" spans="1:51" ht="17.25" customHeight="1">
      <c r="A5" s="216"/>
      <c r="B5" s="9" t="s">
        <v>43</v>
      </c>
      <c r="C5" s="39"/>
      <c r="D5" s="40"/>
      <c r="E5" s="40"/>
      <c r="F5" s="40"/>
      <c r="G5" s="40"/>
      <c r="H5" s="40"/>
      <c r="I5" s="54"/>
      <c r="J5" s="3"/>
      <c r="K5" s="2"/>
      <c r="L5" s="2"/>
      <c r="M5" s="2"/>
      <c r="N5" s="2"/>
      <c r="O5" s="2"/>
      <c r="P5" s="2"/>
      <c r="Q5" s="2"/>
      <c r="R5" s="3"/>
      <c r="S5" s="2"/>
      <c r="T5" s="2">
        <v>1</v>
      </c>
      <c r="U5" s="2"/>
      <c r="V5" s="2"/>
      <c r="W5" s="2"/>
      <c r="X5" s="2"/>
      <c r="Y5" s="2"/>
      <c r="Z5" s="3">
        <v>1</v>
      </c>
      <c r="AA5" s="18">
        <v>1</v>
      </c>
      <c r="AB5" s="18">
        <f>C5+D5+E5+K5+L5+M5+S5+T5+U5</f>
        <v>1</v>
      </c>
      <c r="AC5" s="22">
        <v>90224210</v>
      </c>
      <c r="AD5" s="18">
        <f t="shared" ref="AD5:AD13" si="0">IF(AB5&lt;3,3,AB5)</f>
        <v>3</v>
      </c>
      <c r="AE5" s="18">
        <f t="shared" ref="AE5:AE13" si="1">F5+N5+V5</f>
        <v>0</v>
      </c>
      <c r="AF5" s="18">
        <v>1</v>
      </c>
      <c r="AG5" s="18">
        <f t="shared" ref="AG5:AG13" si="2">G5+O5+W5</f>
        <v>0</v>
      </c>
      <c r="AH5" s="18">
        <f t="shared" ref="AH5:AH9" si="3">AB5</f>
        <v>1</v>
      </c>
      <c r="AI5" s="18">
        <f t="shared" ref="AI5:AI9" si="4">H5+P5+X5</f>
        <v>0</v>
      </c>
      <c r="AJ5" s="22">
        <f t="shared" ref="AJ5:AJ8" si="5">AC5*0.08</f>
        <v>7217936.7999999998</v>
      </c>
      <c r="AK5" s="71">
        <v>0</v>
      </c>
      <c r="AL5" s="18">
        <f t="shared" ref="AL5:AL13" si="6">AB5</f>
        <v>1</v>
      </c>
      <c r="AM5" s="94">
        <v>1</v>
      </c>
      <c r="AN5" s="26">
        <f t="shared" ref="AN5:AN10" si="7">(AB5/AA5)*0.5</f>
        <v>0.5</v>
      </c>
      <c r="AO5" s="29">
        <f t="shared" ref="AO5" si="8">IF(
 AND(AG5&lt;1,AE5&gt;=AD5),
 0.174,
 ((AG5+AE5)/AD5)*0.2
)</f>
        <v>0</v>
      </c>
      <c r="AP5" s="29">
        <f t="shared" ref="AP5:AP11" si="9">(AI5/AH5)*0.1</f>
        <v>0</v>
      </c>
      <c r="AQ5" s="26">
        <f t="shared" ref="AQ5" si="10">(AK5/AJ5)*0.1</f>
        <v>0</v>
      </c>
      <c r="AR5" s="45">
        <f t="shared" ref="AR5:AR11" si="11">(AM5/AL5)*0.1</f>
        <v>0.1</v>
      </c>
      <c r="AS5" s="26">
        <f t="shared" ref="AS5:AS13" si="12">IFERROR(MIN(AN5,50%),0)+IFERROR(MIN(AO5,20%),0)+IFERROR(MIN(AP5,10%),0)+IFERROR(MIN(AQ5,10%),0)+IFERROR(MIN(AR5,10%),0)</f>
        <v>0.6</v>
      </c>
      <c r="AT5" s="18" t="str" cm="1">
        <f t="array" ref="AT5">_xlfn.IFS(AS5&lt;60%,"C",AS5&gt;=60%,"B",AS5&gt;=80,"A")</f>
        <v>B</v>
      </c>
      <c r="AU5" s="26" cm="1">
        <f t="array" ref="AU5">_xlfn.IFS(AS5&lt;60%,0,AS5&gt;=60%,0.03,AS5&gt;=80,0.05)</f>
        <v>0.03</v>
      </c>
      <c r="AV5" s="230"/>
      <c r="AW5" s="222"/>
      <c r="AX5" s="222"/>
      <c r="AY5" s="73"/>
    </row>
    <row r="6" spans="1:51">
      <c r="A6" s="216"/>
      <c r="B6" s="8" t="s">
        <v>44</v>
      </c>
      <c r="C6" s="39"/>
      <c r="D6" s="40">
        <v>1</v>
      </c>
      <c r="E6" s="40"/>
      <c r="F6" s="40"/>
      <c r="G6" s="40"/>
      <c r="H6" s="40"/>
      <c r="I6" s="54"/>
      <c r="J6" s="3"/>
      <c r="K6" s="2"/>
      <c r="L6" s="2"/>
      <c r="M6" s="2"/>
      <c r="N6" s="2"/>
      <c r="O6" s="2"/>
      <c r="P6" s="2"/>
      <c r="Q6" s="2"/>
      <c r="R6" s="3"/>
      <c r="S6" s="2"/>
      <c r="T6" s="2">
        <v>1</v>
      </c>
      <c r="U6" s="2"/>
      <c r="V6" s="2"/>
      <c r="W6" s="2"/>
      <c r="X6" s="2">
        <v>2</v>
      </c>
      <c r="Y6" s="2"/>
      <c r="Z6" s="3">
        <v>2</v>
      </c>
      <c r="AA6" s="18">
        <v>2</v>
      </c>
      <c r="AB6" s="18">
        <f>C6+D6+E6+K6+L6+M6+S6+T6+U6</f>
        <v>2</v>
      </c>
      <c r="AC6" s="52">
        <v>149857004</v>
      </c>
      <c r="AD6" s="18">
        <f t="shared" si="0"/>
        <v>3</v>
      </c>
      <c r="AE6" s="18">
        <f t="shared" si="1"/>
        <v>0</v>
      </c>
      <c r="AF6" s="18">
        <v>1</v>
      </c>
      <c r="AG6" s="18">
        <f t="shared" si="2"/>
        <v>0</v>
      </c>
      <c r="AH6" s="18">
        <f t="shared" si="3"/>
        <v>2</v>
      </c>
      <c r="AI6" s="18">
        <f t="shared" si="4"/>
        <v>2</v>
      </c>
      <c r="AJ6" s="22">
        <f t="shared" si="5"/>
        <v>11988560.32</v>
      </c>
      <c r="AK6" s="67">
        <v>9025688</v>
      </c>
      <c r="AL6" s="18">
        <f t="shared" si="6"/>
        <v>2</v>
      </c>
      <c r="AM6" s="94">
        <v>2</v>
      </c>
      <c r="AN6" s="26">
        <f t="shared" si="7"/>
        <v>0.5</v>
      </c>
      <c r="AO6" s="29">
        <f>IF(
 AND(AG6&lt;1,AE6&gt;=AD6),
 0.174,
 ((AG6+AE6)/AD6)*0.2
)</f>
        <v>0</v>
      </c>
      <c r="AP6" s="29">
        <f t="shared" si="9"/>
        <v>0.1</v>
      </c>
      <c r="AQ6" s="26">
        <f>(AK6/AJ6)*0.1</f>
        <v>7.5285837157134147E-2</v>
      </c>
      <c r="AR6" s="45">
        <f t="shared" si="11"/>
        <v>0.1</v>
      </c>
      <c r="AS6" s="26">
        <f t="shared" si="12"/>
        <v>0.77528583715713406</v>
      </c>
      <c r="AT6" s="18" t="str" cm="1">
        <f t="array" ref="AT6">_xlfn.IFS(AS6&lt;60%,"C",AS6&gt;=60%,"B",AS6&gt;=80,"A")</f>
        <v>B</v>
      </c>
      <c r="AU6" s="26" cm="1">
        <f t="array" ref="AU6">_xlfn.IFS(AS6&lt;60%,0,AS6&gt;=60%,0.03,AS6&gt;=80,0.05)</f>
        <v>0.03</v>
      </c>
      <c r="AV6" s="230"/>
      <c r="AW6" s="222"/>
      <c r="AX6" s="222"/>
    </row>
    <row r="7" spans="1:51">
      <c r="A7" s="216"/>
      <c r="B7" s="8" t="s">
        <v>45</v>
      </c>
      <c r="C7" s="39"/>
      <c r="D7" s="40"/>
      <c r="E7" s="40"/>
      <c r="F7" s="40"/>
      <c r="G7" s="40"/>
      <c r="H7" s="40"/>
      <c r="I7" s="54"/>
      <c r="J7" s="3"/>
      <c r="K7" s="2"/>
      <c r="L7" s="2"/>
      <c r="M7" s="2"/>
      <c r="N7" s="2"/>
      <c r="O7" s="2"/>
      <c r="P7" s="2"/>
      <c r="Q7" s="2"/>
      <c r="R7" s="3"/>
      <c r="S7" s="2"/>
      <c r="T7" s="2"/>
      <c r="U7" s="2"/>
      <c r="V7" s="2"/>
      <c r="W7" s="2"/>
      <c r="X7" s="2"/>
      <c r="Y7" s="2"/>
      <c r="Z7" s="3"/>
      <c r="AA7" s="18">
        <v>9</v>
      </c>
      <c r="AB7" s="18">
        <v>25</v>
      </c>
      <c r="AC7" s="74">
        <v>1918434275</v>
      </c>
      <c r="AD7" s="18">
        <f t="shared" si="0"/>
        <v>25</v>
      </c>
      <c r="AE7" s="18">
        <v>5</v>
      </c>
      <c r="AF7" s="18">
        <v>1</v>
      </c>
      <c r="AG7" s="18">
        <v>5</v>
      </c>
      <c r="AH7" s="18">
        <f t="shared" si="3"/>
        <v>25</v>
      </c>
      <c r="AI7" s="18">
        <v>3</v>
      </c>
      <c r="AJ7" s="22">
        <f t="shared" si="5"/>
        <v>153474742</v>
      </c>
      <c r="AK7" s="67">
        <v>46331763</v>
      </c>
      <c r="AL7" s="18">
        <f t="shared" si="6"/>
        <v>25</v>
      </c>
      <c r="AM7" s="94">
        <v>18</v>
      </c>
      <c r="AN7" s="26">
        <f t="shared" si="7"/>
        <v>1.3888888888888888</v>
      </c>
      <c r="AO7" s="29">
        <f t="shared" ref="AO7:AO13" si="13">IF(
 AND(AG7&lt;1,AE7&gt;=AD7),
 0.174,
 ((AG7+AE7)/AD7)*0.2
)</f>
        <v>8.0000000000000016E-2</v>
      </c>
      <c r="AP7" s="29">
        <f t="shared" si="9"/>
        <v>1.2E-2</v>
      </c>
      <c r="AQ7" s="26">
        <f t="shared" ref="AQ7:AQ11" si="14">(AK7/AJ7)*0.1</f>
        <v>3.0188526396089335E-2</v>
      </c>
      <c r="AR7" s="45">
        <f t="shared" si="11"/>
        <v>7.1999999999999995E-2</v>
      </c>
      <c r="AS7" s="26">
        <f t="shared" si="12"/>
        <v>0.69418852639608941</v>
      </c>
      <c r="AT7" s="18" t="str" cm="1">
        <f t="array" ref="AT7">_xlfn.IFS(AS7&lt;60%,"C",AS7&gt;=60%,"B",AS7&gt;=80,"A")</f>
        <v>B</v>
      </c>
      <c r="AU7" s="26" cm="1">
        <f t="array" ref="AU7">_xlfn.IFS(AS7&lt;60%,0,AS7&gt;=60%,0.03,AS7&gt;=80,0.05)</f>
        <v>0.03</v>
      </c>
      <c r="AV7" s="230"/>
      <c r="AW7" s="222"/>
      <c r="AX7" s="222"/>
    </row>
    <row r="8" spans="1:51">
      <c r="A8" s="216"/>
      <c r="B8" s="8" t="s">
        <v>46</v>
      </c>
      <c r="C8" s="39"/>
      <c r="D8" s="40"/>
      <c r="E8" s="40"/>
      <c r="F8" s="63"/>
      <c r="G8" s="40"/>
      <c r="H8" s="40"/>
      <c r="I8" s="54"/>
      <c r="J8" s="3"/>
      <c r="K8" s="2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  <c r="Y8" s="2"/>
      <c r="Z8" s="3"/>
      <c r="AA8" s="18">
        <v>2</v>
      </c>
      <c r="AB8" s="18">
        <v>2</v>
      </c>
      <c r="AC8" s="22">
        <v>215878162</v>
      </c>
      <c r="AD8" s="18">
        <f t="shared" si="0"/>
        <v>3</v>
      </c>
      <c r="AE8" s="18">
        <v>3</v>
      </c>
      <c r="AF8" s="18">
        <v>1</v>
      </c>
      <c r="AG8" s="18">
        <v>1</v>
      </c>
      <c r="AH8" s="18">
        <f t="shared" si="3"/>
        <v>2</v>
      </c>
      <c r="AI8" s="18">
        <v>2</v>
      </c>
      <c r="AJ8" s="22">
        <f t="shared" si="5"/>
        <v>17270252.960000001</v>
      </c>
      <c r="AK8" s="67">
        <v>3814633</v>
      </c>
      <c r="AL8" s="18">
        <f t="shared" si="6"/>
        <v>2</v>
      </c>
      <c r="AM8" s="94">
        <v>2</v>
      </c>
      <c r="AN8" s="26">
        <f t="shared" si="7"/>
        <v>0.5</v>
      </c>
      <c r="AO8" s="29">
        <f t="shared" si="13"/>
        <v>0.26666666666666666</v>
      </c>
      <c r="AP8" s="29">
        <f t="shared" si="9"/>
        <v>0.1</v>
      </c>
      <c r="AQ8" s="26">
        <f t="shared" si="14"/>
        <v>2.2087881450463712E-2</v>
      </c>
      <c r="AR8" s="45">
        <f t="shared" si="11"/>
        <v>0.1</v>
      </c>
      <c r="AS8" s="26">
        <f t="shared" si="12"/>
        <v>0.92208788145046361</v>
      </c>
      <c r="AT8" s="18" t="str" cm="1">
        <f t="array" ref="AT8">_xlfn.IFS(AS8&lt;60%,"C",AS8&gt;=60%,"B",AS8&gt;=80,"A")</f>
        <v>B</v>
      </c>
      <c r="AU8" s="26" cm="1">
        <f t="array" ref="AU8">_xlfn.IFS(AS8&lt;60%,0,AS8&gt;=60%,0.03,AS8&gt;=80,0.05)</f>
        <v>0.03</v>
      </c>
      <c r="AV8" s="230"/>
      <c r="AW8" s="222"/>
      <c r="AX8" s="222"/>
    </row>
    <row r="9" spans="1:51" ht="15" customHeight="1">
      <c r="A9" s="160" t="s">
        <v>47</v>
      </c>
      <c r="B9" s="10" t="s">
        <v>48</v>
      </c>
      <c r="C9" s="41"/>
      <c r="D9" s="42"/>
      <c r="E9" s="42">
        <v>13</v>
      </c>
      <c r="F9" s="42"/>
      <c r="G9" s="42">
        <v>1</v>
      </c>
      <c r="H9" s="64"/>
      <c r="I9" s="55"/>
      <c r="J9" s="5"/>
      <c r="K9" s="4"/>
      <c r="L9" s="4"/>
      <c r="M9" s="4"/>
      <c r="N9" s="4">
        <v>11</v>
      </c>
      <c r="O9" s="4"/>
      <c r="P9" s="4">
        <v>4</v>
      </c>
      <c r="Q9" s="4"/>
      <c r="R9" s="5"/>
      <c r="S9" s="4"/>
      <c r="T9" s="4"/>
      <c r="U9" s="4">
        <v>14</v>
      </c>
      <c r="V9" s="4">
        <v>4</v>
      </c>
      <c r="W9" s="4"/>
      <c r="X9" s="4">
        <v>6</v>
      </c>
      <c r="Y9" s="4"/>
      <c r="Z9" s="5">
        <v>26</v>
      </c>
      <c r="AA9" s="19">
        <v>13</v>
      </c>
      <c r="AB9" s="19">
        <f t="shared" ref="AB9:AB13" si="15">C9+D9+E9+K9+L9+M9+S9+T9+U9</f>
        <v>27</v>
      </c>
      <c r="AC9" s="50">
        <v>2025892191</v>
      </c>
      <c r="AD9" s="19">
        <f t="shared" si="0"/>
        <v>27</v>
      </c>
      <c r="AE9" s="19">
        <f t="shared" ref="AE9:AE17" si="16">F9+N9+V9</f>
        <v>15</v>
      </c>
      <c r="AF9" s="19">
        <v>1</v>
      </c>
      <c r="AG9" s="19">
        <f t="shared" ref="AG9:AG17" si="17">G9+O9+W9</f>
        <v>1</v>
      </c>
      <c r="AH9" s="19">
        <f t="shared" si="3"/>
        <v>27</v>
      </c>
      <c r="AI9" s="19">
        <f t="shared" ref="AI9:AI13" si="18">H9+P9+X9</f>
        <v>10</v>
      </c>
      <c r="AJ9" s="50">
        <f>AC9*0.08</f>
        <v>162071375.28</v>
      </c>
      <c r="AK9" s="50">
        <v>271314350</v>
      </c>
      <c r="AL9" s="19">
        <f t="shared" si="6"/>
        <v>27</v>
      </c>
      <c r="AM9" s="95">
        <v>26</v>
      </c>
      <c r="AN9" s="27">
        <f t="shared" si="7"/>
        <v>1.0384615384615385</v>
      </c>
      <c r="AO9" s="27">
        <f>IF(
 AND(AG9&lt;1,AE9&gt;=AD9),
 0.174,
 ((AG9+AE9)/AD9)*0.2
)</f>
        <v>0.11851851851851852</v>
      </c>
      <c r="AP9" s="27">
        <f t="shared" ref="AP9:AP11" si="19">IFERROR((AI9/AH9)*0.1,0)</f>
        <v>3.7037037037037035E-2</v>
      </c>
      <c r="AQ9" s="46">
        <f t="shared" si="14"/>
        <v>0.16740423750416639</v>
      </c>
      <c r="AR9" s="30">
        <f t="shared" si="11"/>
        <v>9.6296296296296297E-2</v>
      </c>
      <c r="AS9" s="27">
        <f t="shared" si="12"/>
        <v>0.85185185185185175</v>
      </c>
      <c r="AT9" s="19" t="str" cm="1">
        <f t="array" ref="AT9">_xlfn.IFS(AS9&gt;80%,"A",AS9&gt;=60%,"B",AS9&lt;=60,"C")</f>
        <v>A</v>
      </c>
      <c r="AU9" s="27" cm="1">
        <f t="array" ref="AU9">_xlfn.IFS(AS9&gt;80%,0.05,AS9&gt;=60%,0.03,AS9&lt;=60,0)</f>
        <v>0.05</v>
      </c>
      <c r="AV9" s="224">
        <f>AVERAGE(AS9:AS11)</f>
        <v>0.71728395061728401</v>
      </c>
      <c r="AW9" s="226">
        <f>10000*AV9</f>
        <v>7172.8395061728397</v>
      </c>
      <c r="AX9" s="226">
        <f>AW9*216</f>
        <v>1549333.3333333335</v>
      </c>
    </row>
    <row r="10" spans="1:51">
      <c r="A10" s="223"/>
      <c r="B10" s="10" t="s">
        <v>49</v>
      </c>
      <c r="C10" s="41"/>
      <c r="D10" s="42"/>
      <c r="E10" s="42">
        <v>1</v>
      </c>
      <c r="F10" s="42">
        <v>4</v>
      </c>
      <c r="G10" s="42"/>
      <c r="H10" s="4">
        <v>0</v>
      </c>
      <c r="I10" s="55"/>
      <c r="J10" s="5">
        <v>1</v>
      </c>
      <c r="K10" s="4"/>
      <c r="L10" s="4"/>
      <c r="M10" s="4"/>
      <c r="N10" s="4">
        <v>2</v>
      </c>
      <c r="O10" s="4">
        <v>1</v>
      </c>
      <c r="P10" s="4"/>
      <c r="Q10" s="4"/>
      <c r="R10" s="5"/>
      <c r="S10" s="4"/>
      <c r="T10" s="4"/>
      <c r="U10" s="4"/>
      <c r="V10" s="4">
        <v>1</v>
      </c>
      <c r="W10" s="4"/>
      <c r="X10" s="4"/>
      <c r="Y10" s="4"/>
      <c r="Z10" s="5"/>
      <c r="AA10" s="19">
        <v>2</v>
      </c>
      <c r="AB10" s="19">
        <f t="shared" si="15"/>
        <v>1</v>
      </c>
      <c r="AC10" s="50">
        <v>97580037</v>
      </c>
      <c r="AD10" s="19">
        <f t="shared" si="0"/>
        <v>3</v>
      </c>
      <c r="AE10" s="19">
        <f t="shared" si="16"/>
        <v>7</v>
      </c>
      <c r="AF10" s="19">
        <v>1</v>
      </c>
      <c r="AG10" s="19">
        <f>G10+O10+W10</f>
        <v>1</v>
      </c>
      <c r="AH10" s="19">
        <v>0</v>
      </c>
      <c r="AI10" s="19">
        <f t="shared" si="18"/>
        <v>0</v>
      </c>
      <c r="AJ10" s="50">
        <f t="shared" ref="AJ10" si="20">AC10*0.08</f>
        <v>7806402.96</v>
      </c>
      <c r="AK10" s="147">
        <v>20430839</v>
      </c>
      <c r="AL10" s="19">
        <f t="shared" si="6"/>
        <v>1</v>
      </c>
      <c r="AM10" s="95">
        <v>1</v>
      </c>
      <c r="AN10" s="27">
        <f t="shared" si="7"/>
        <v>0.25</v>
      </c>
      <c r="AO10" s="27">
        <v>1</v>
      </c>
      <c r="AP10" s="27">
        <f t="shared" si="19"/>
        <v>0</v>
      </c>
      <c r="AQ10" s="46">
        <f t="shared" si="14"/>
        <v>0.26171899022747863</v>
      </c>
      <c r="AR10" s="30">
        <f t="shared" si="11"/>
        <v>0.1</v>
      </c>
      <c r="AS10" s="27">
        <f>IFERROR(MIN(AN10,50%),0)+IFERROR(MIN(AO10,20%),0)+IFERROR(MIN(AP10,10%),0)+IFERROR(MIN(AQ10,10%),0)+IFERROR(MIN(AR10,10%),0)</f>
        <v>0.65</v>
      </c>
      <c r="AT10" s="19" t="str" cm="1">
        <f t="array" ref="AT10">_xlfn.IFS(AS10&lt;60%,"C",AS10&gt;=60%,"B",AS10&gt;=80,"A")</f>
        <v>B</v>
      </c>
      <c r="AU10" s="27" cm="1">
        <f t="array" ref="AU10">_xlfn.IFS(AS10&lt;60%,0,AS10&gt;=60%,0.03,AS10&gt;=80,0.05)</f>
        <v>0.03</v>
      </c>
      <c r="AV10" s="225"/>
      <c r="AW10" s="227"/>
      <c r="AX10" s="227"/>
      <c r="AY10" s="73"/>
    </row>
    <row r="11" spans="1:51">
      <c r="A11" s="223"/>
      <c r="B11" s="10" t="s">
        <v>50</v>
      </c>
      <c r="C11" s="41"/>
      <c r="D11" s="42"/>
      <c r="E11" s="42"/>
      <c r="F11" s="42"/>
      <c r="G11" s="42"/>
      <c r="H11" s="4"/>
      <c r="I11" s="55"/>
      <c r="J11" s="5"/>
      <c r="K11" s="4"/>
      <c r="L11" s="4"/>
      <c r="M11" s="4">
        <v>1</v>
      </c>
      <c r="N11" s="4">
        <v>2</v>
      </c>
      <c r="O11" s="4">
        <v>1</v>
      </c>
      <c r="P11" s="4"/>
      <c r="Q11" s="4"/>
      <c r="R11" s="5">
        <v>1</v>
      </c>
      <c r="S11" s="4"/>
      <c r="T11" s="4"/>
      <c r="U11" s="4"/>
      <c r="V11" s="4"/>
      <c r="W11" s="4"/>
      <c r="X11" s="4"/>
      <c r="Y11" s="4"/>
      <c r="Z11" s="5"/>
      <c r="AA11" s="19">
        <v>2</v>
      </c>
      <c r="AB11" s="19">
        <f t="shared" si="15"/>
        <v>1</v>
      </c>
      <c r="AC11" s="50">
        <v>93379929</v>
      </c>
      <c r="AD11" s="19">
        <f t="shared" si="0"/>
        <v>3</v>
      </c>
      <c r="AE11" s="19">
        <f t="shared" si="16"/>
        <v>2</v>
      </c>
      <c r="AF11" s="19">
        <v>1</v>
      </c>
      <c r="AG11" s="19">
        <f t="shared" ref="AG11:AG19" si="21">G11+O11+W11</f>
        <v>1</v>
      </c>
      <c r="AH11" s="19">
        <f t="shared" ref="AH11:AH15" si="22">AB11</f>
        <v>1</v>
      </c>
      <c r="AI11" s="19">
        <f t="shared" si="18"/>
        <v>0</v>
      </c>
      <c r="AJ11" s="50">
        <f>AC11*0.08</f>
        <v>7470394.3200000003</v>
      </c>
      <c r="AK11" s="147">
        <v>38917216</v>
      </c>
      <c r="AL11" s="19">
        <f t="shared" si="6"/>
        <v>1</v>
      </c>
      <c r="AM11" s="95">
        <v>1</v>
      </c>
      <c r="AN11" s="27">
        <f>(AB11/AA11)*0.5</f>
        <v>0.25</v>
      </c>
      <c r="AO11" s="27">
        <f t="shared" ref="AO11:AO17" si="23">IF(
 AND(AG11&lt;1,AE11&gt;=AD11),
 0.174,
 ((AG11+AE11)/AD11)*0.2
)</f>
        <v>0.2</v>
      </c>
      <c r="AP11" s="27">
        <f t="shared" si="19"/>
        <v>0</v>
      </c>
      <c r="AQ11" s="46">
        <f t="shared" si="14"/>
        <v>0.52095263426469296</v>
      </c>
      <c r="AR11" s="30">
        <f t="shared" si="11"/>
        <v>0.1</v>
      </c>
      <c r="AS11" s="27">
        <f t="shared" ref="AS11:AS19" si="24">IFERROR(MIN(AN11,50%),0)+IFERROR(MIN(AO11,20%),0)+IFERROR(MIN(AP11,10%),0)+IFERROR(MIN(AQ11,10%),0)+IFERROR(MIN(AR11,10%),0)</f>
        <v>0.65</v>
      </c>
      <c r="AT11" s="19" t="str" cm="1">
        <f t="array" ref="AT11">_xlfn.IFS(AS11&lt;60%,"C",AS11&gt;=60%,"B",AS11&gt;=80,"A")</f>
        <v>B</v>
      </c>
      <c r="AU11" s="27" cm="1">
        <f t="array" ref="AU11">_xlfn.IFS(AS11&lt;60%,0,AS11&gt;=60%,0.03,AS11&gt;=80,0.05)</f>
        <v>0.03</v>
      </c>
      <c r="AV11" s="225"/>
      <c r="AW11" s="228"/>
      <c r="AX11" s="228"/>
    </row>
    <row r="12" spans="1:51">
      <c r="A12" s="217" t="s">
        <v>51</v>
      </c>
      <c r="B12" s="12" t="s">
        <v>52</v>
      </c>
      <c r="C12" s="43"/>
      <c r="D12" s="44"/>
      <c r="E12" s="44"/>
      <c r="F12" s="44"/>
      <c r="G12" s="44"/>
      <c r="H12" s="6"/>
      <c r="I12" s="56"/>
      <c r="J12" s="7"/>
      <c r="K12" s="6"/>
      <c r="L12" s="6"/>
      <c r="M12" s="6"/>
      <c r="N12" s="6">
        <v>1</v>
      </c>
      <c r="O12" s="6">
        <v>1</v>
      </c>
      <c r="P12" s="6">
        <v>3</v>
      </c>
      <c r="Q12" s="6"/>
      <c r="R12" s="7"/>
      <c r="S12" s="6"/>
      <c r="T12" s="6"/>
      <c r="U12" s="6"/>
      <c r="V12" s="6">
        <v>2</v>
      </c>
      <c r="W12" s="6"/>
      <c r="X12" s="6"/>
      <c r="Y12" s="6"/>
      <c r="Z12" s="7"/>
      <c r="AA12" s="20">
        <v>3</v>
      </c>
      <c r="AB12" s="20">
        <f t="shared" si="15"/>
        <v>0</v>
      </c>
      <c r="AC12" s="51"/>
      <c r="AD12" s="68">
        <f t="shared" si="0"/>
        <v>3</v>
      </c>
      <c r="AE12" s="20">
        <f t="shared" si="16"/>
        <v>3</v>
      </c>
      <c r="AF12" s="20">
        <v>1</v>
      </c>
      <c r="AG12" s="20">
        <f t="shared" si="21"/>
        <v>1</v>
      </c>
      <c r="AH12" s="20">
        <v>3</v>
      </c>
      <c r="AI12" s="20">
        <f t="shared" si="18"/>
        <v>3</v>
      </c>
      <c r="AJ12" s="23">
        <f t="shared" ref="AJ12:AJ13" si="25">AC12*0.08</f>
        <v>0</v>
      </c>
      <c r="AK12" s="24"/>
      <c r="AL12" s="20">
        <f t="shared" si="6"/>
        <v>0</v>
      </c>
      <c r="AM12" s="96"/>
      <c r="AN12" s="70">
        <f t="shared" ref="AN12:AN13" si="26">IFERROR((AB12/AA12)*0.5,0)</f>
        <v>0</v>
      </c>
      <c r="AO12" s="28">
        <f t="shared" si="23"/>
        <v>0.26666666666666666</v>
      </c>
      <c r="AP12" s="69">
        <f>IFERROR((AI12/AH12)*0.1,0)</f>
        <v>0.1</v>
      </c>
      <c r="AQ12" s="47">
        <f t="shared" ref="AQ12:AQ13" si="27">IFERROR((AK12/AJ12)*0.1,0)</f>
        <v>0</v>
      </c>
      <c r="AR12" s="48">
        <f t="shared" ref="AR12:AR13" si="28">IFERROR((AM12/AL12)*0.1,0)</f>
        <v>0</v>
      </c>
      <c r="AS12" s="28">
        <f t="shared" si="24"/>
        <v>0.30000000000000004</v>
      </c>
      <c r="AT12" s="20" t="str" cm="1">
        <f t="array" ref="AT12">_xlfn.IFS(AS12&lt;60%,"C",AS12&gt;=60%,"B",AS12&gt;=80,"A")</f>
        <v>C</v>
      </c>
      <c r="AU12" s="28" cm="1">
        <f t="array" ref="AU12">_xlfn.IFS(AS12&lt;60%,0,AS12&gt;=60%,0.03,AS12&gt;=80,0.05)</f>
        <v>0</v>
      </c>
      <c r="AV12" s="218">
        <f>AVERAGE(AS12:AS13)</f>
        <v>0.45</v>
      </c>
      <c r="AW12" s="220">
        <f>10000*AV12</f>
        <v>4500</v>
      </c>
      <c r="AX12" s="220">
        <f>AW12*216</f>
        <v>972000</v>
      </c>
      <c r="AY12" s="73"/>
    </row>
    <row r="13" spans="1:51">
      <c r="A13" s="217"/>
      <c r="B13" s="12" t="s">
        <v>53</v>
      </c>
      <c r="C13" s="43"/>
      <c r="D13" s="44"/>
      <c r="E13" s="44"/>
      <c r="F13" s="44"/>
      <c r="G13" s="44"/>
      <c r="H13" s="6"/>
      <c r="I13" s="56"/>
      <c r="J13" s="7"/>
      <c r="K13" s="6"/>
      <c r="L13" s="6"/>
      <c r="M13" s="6"/>
      <c r="N13" s="6"/>
      <c r="O13" s="6"/>
      <c r="P13" s="6"/>
      <c r="Q13" s="6"/>
      <c r="R13" s="7"/>
      <c r="S13" s="6"/>
      <c r="T13" s="6">
        <v>1</v>
      </c>
      <c r="U13" s="6"/>
      <c r="V13" s="6"/>
      <c r="W13" s="6"/>
      <c r="X13" s="6">
        <v>1</v>
      </c>
      <c r="Y13" s="6"/>
      <c r="Z13" s="7">
        <v>1</v>
      </c>
      <c r="AA13" s="20">
        <v>1</v>
      </c>
      <c r="AB13" s="20">
        <f t="shared" si="15"/>
        <v>1</v>
      </c>
      <c r="AC13" s="51"/>
      <c r="AD13" s="68">
        <f t="shared" si="0"/>
        <v>3</v>
      </c>
      <c r="AE13" s="20">
        <f t="shared" si="16"/>
        <v>0</v>
      </c>
      <c r="AF13" s="20">
        <v>1</v>
      </c>
      <c r="AG13" s="20">
        <f t="shared" si="21"/>
        <v>0</v>
      </c>
      <c r="AH13" s="20">
        <f t="shared" ref="AH13:AH17" si="29">AB13</f>
        <v>1</v>
      </c>
      <c r="AI13" s="20">
        <f t="shared" si="18"/>
        <v>1</v>
      </c>
      <c r="AJ13" s="23">
        <f t="shared" si="25"/>
        <v>0</v>
      </c>
      <c r="AK13" s="24"/>
      <c r="AL13" s="20">
        <f t="shared" si="6"/>
        <v>1</v>
      </c>
      <c r="AM13" s="96"/>
      <c r="AN13" s="70">
        <f t="shared" si="26"/>
        <v>0.5</v>
      </c>
      <c r="AO13" s="28">
        <f t="shared" si="23"/>
        <v>0</v>
      </c>
      <c r="AP13" s="69">
        <f t="shared" ref="AP13" si="30">IFERROR((AI13/AH13)*0.1,0)</f>
        <v>0.1</v>
      </c>
      <c r="AQ13" s="47">
        <f t="shared" si="27"/>
        <v>0</v>
      </c>
      <c r="AR13" s="48">
        <f t="shared" si="28"/>
        <v>0</v>
      </c>
      <c r="AS13" s="28">
        <f t="shared" si="24"/>
        <v>0.6</v>
      </c>
      <c r="AT13" s="20" t="str" cm="1">
        <f t="array" ref="AT13">_xlfn.IFS(AS13&lt;60%,"C",AS13&gt;=60%,"B",AS13&gt;=80,"A")</f>
        <v>B</v>
      </c>
      <c r="AU13" s="28" cm="1">
        <f t="array" ref="AU13">_xlfn.IFS(AS13&lt;60%,0,AS13&gt;=60%,0.03,AS13&gt;=80,0.05)</f>
        <v>0.03</v>
      </c>
      <c r="AV13" s="219"/>
      <c r="AW13" s="221"/>
      <c r="AX13" s="221"/>
    </row>
    <row r="14" spans="1:51">
      <c r="C14" s="75"/>
      <c r="D14" s="75"/>
      <c r="E14" s="75"/>
    </row>
    <row r="15" spans="1:51">
      <c r="AJ15" s="150"/>
      <c r="AK15" s="148"/>
    </row>
  </sheetData>
  <autoFilter ref="B1:B14" xr:uid="{8206A6D4-A15A-4459-A9F6-1545BA7351DD}"/>
  <mergeCells count="62">
    <mergeCell ref="A12:A13"/>
    <mergeCell ref="AV12:AV13"/>
    <mergeCell ref="AW12:AW13"/>
    <mergeCell ref="AX12:AX13"/>
    <mergeCell ref="AW4:AW8"/>
    <mergeCell ref="AX4:AX8"/>
    <mergeCell ref="A9:A11"/>
    <mergeCell ref="AV9:AV11"/>
    <mergeCell ref="AW9:AW11"/>
    <mergeCell ref="AX9:AX11"/>
    <mergeCell ref="AV4:AV8"/>
    <mergeCell ref="AR2:AR3"/>
    <mergeCell ref="AS2:AS3"/>
    <mergeCell ref="AT2:AT3"/>
    <mergeCell ref="AU2:AU3"/>
    <mergeCell ref="A4:A8"/>
    <mergeCell ref="AL2:AL3"/>
    <mergeCell ref="AM2:AM3"/>
    <mergeCell ref="AN2:AN3"/>
    <mergeCell ref="AO2:AO3"/>
    <mergeCell ref="AP2:AP3"/>
    <mergeCell ref="AQ2:AQ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Y2:Y3"/>
    <mergeCell ref="J2:J3"/>
    <mergeCell ref="K2:M2"/>
    <mergeCell ref="N2:N3"/>
    <mergeCell ref="O2:O3"/>
    <mergeCell ref="P2:P3"/>
    <mergeCell ref="Q2:Q3"/>
    <mergeCell ref="R2:R3"/>
    <mergeCell ref="S2:U2"/>
    <mergeCell ref="V2:V3"/>
    <mergeCell ref="W2:W3"/>
    <mergeCell ref="X2:X3"/>
    <mergeCell ref="AV1:AV3"/>
    <mergeCell ref="AW1:AW3"/>
    <mergeCell ref="AX1:AX3"/>
    <mergeCell ref="A2:A3"/>
    <mergeCell ref="B2:B3"/>
    <mergeCell ref="C2:E2"/>
    <mergeCell ref="F2:F3"/>
    <mergeCell ref="G2:G3"/>
    <mergeCell ref="H2:H3"/>
    <mergeCell ref="I2:I3"/>
    <mergeCell ref="C1:J1"/>
    <mergeCell ref="K1:R1"/>
    <mergeCell ref="S1:Z1"/>
    <mergeCell ref="AA1:AM1"/>
    <mergeCell ref="AN1:AR1"/>
    <mergeCell ref="AS1:A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5CCAA-C619-4A8C-AADC-3EE219FE114F}">
  <dimension ref="A1:AX26"/>
  <sheetViews>
    <sheetView workbookViewId="0">
      <pane xSplit="2" ySplit="3" topLeftCell="Z11" activePane="bottomRight" state="frozen"/>
      <selection pane="bottomRight" activeCell="A16" sqref="A16:XFD16"/>
      <selection pane="bottomLeft"/>
      <selection pane="topRight"/>
    </sheetView>
  </sheetViews>
  <sheetFormatPr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5" max="25" width="17.5703125" bestFit="1" customWidth="1"/>
    <col min="26" max="26" width="13.140625" customWidth="1"/>
    <col min="27" max="27" width="9.85546875" style="21" customWidth="1"/>
    <col min="28" max="28" width="9.28515625" style="21" customWidth="1"/>
    <col min="29" max="29" width="15.42578125" style="21" bestFit="1" customWidth="1"/>
    <col min="30" max="30" width="8.5703125" style="21" customWidth="1"/>
    <col min="31" max="31" width="9.7109375" style="21" customWidth="1"/>
    <col min="32" max="32" width="9.140625" style="21"/>
    <col min="33" max="33" width="9.42578125" style="21" customWidth="1"/>
    <col min="34" max="34" width="12.7109375" style="21" customWidth="1"/>
    <col min="35" max="35" width="14.28515625" style="21" customWidth="1"/>
    <col min="36" max="36" width="15.7109375" style="21" customWidth="1"/>
    <col min="37" max="37" width="17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bestFit="1" customWidth="1"/>
    <col min="48" max="48" width="14.85546875" customWidth="1"/>
    <col min="49" max="49" width="12.28515625" hidden="1" customWidth="1"/>
    <col min="50" max="50" width="15.140625" hidden="1" customWidth="1"/>
  </cols>
  <sheetData>
    <row r="1" spans="1:50">
      <c r="A1" s="13"/>
      <c r="B1" s="13"/>
      <c r="C1" s="191" t="s">
        <v>54</v>
      </c>
      <c r="D1" s="192"/>
      <c r="E1" s="192"/>
      <c r="F1" s="192"/>
      <c r="G1" s="192"/>
      <c r="H1" s="192"/>
      <c r="I1" s="192"/>
      <c r="J1" s="193"/>
      <c r="K1" s="194" t="s">
        <v>55</v>
      </c>
      <c r="L1" s="194"/>
      <c r="M1" s="194"/>
      <c r="N1" s="194"/>
      <c r="O1" s="194"/>
      <c r="P1" s="194"/>
      <c r="Q1" s="194"/>
      <c r="R1" s="195"/>
      <c r="S1" s="205" t="s">
        <v>56</v>
      </c>
      <c r="T1" s="205"/>
      <c r="U1" s="205"/>
      <c r="V1" s="205"/>
      <c r="W1" s="205"/>
      <c r="X1" s="205"/>
      <c r="Y1" s="205"/>
      <c r="Z1" s="206"/>
      <c r="AA1" s="207" t="s">
        <v>3</v>
      </c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8"/>
      <c r="AN1" s="185" t="s">
        <v>4</v>
      </c>
      <c r="AO1" s="185"/>
      <c r="AP1" s="185"/>
      <c r="AQ1" s="185"/>
      <c r="AR1" s="200"/>
      <c r="AS1" s="201" t="s">
        <v>5</v>
      </c>
      <c r="AT1" s="201"/>
      <c r="AU1" s="202"/>
    </row>
    <row r="2" spans="1:50" s="1" customFormat="1" ht="30.75" customHeight="1">
      <c r="A2" s="196" t="s">
        <v>9</v>
      </c>
      <c r="B2" s="197" t="s">
        <v>10</v>
      </c>
      <c r="C2" s="198" t="s">
        <v>11</v>
      </c>
      <c r="D2" s="199"/>
      <c r="E2" s="199"/>
      <c r="F2" s="199" t="s">
        <v>12</v>
      </c>
      <c r="G2" s="199" t="s">
        <v>13</v>
      </c>
      <c r="H2" s="188" t="s">
        <v>14</v>
      </c>
      <c r="I2" s="189" t="s">
        <v>15</v>
      </c>
      <c r="J2" s="190" t="s">
        <v>16</v>
      </c>
      <c r="K2" s="185" t="s">
        <v>11</v>
      </c>
      <c r="L2" s="185"/>
      <c r="M2" s="185"/>
      <c r="N2" s="185" t="s">
        <v>12</v>
      </c>
      <c r="O2" s="185" t="s">
        <v>13</v>
      </c>
      <c r="P2" s="184" t="s">
        <v>14</v>
      </c>
      <c r="Q2" s="184" t="s">
        <v>15</v>
      </c>
      <c r="R2" s="187" t="s">
        <v>16</v>
      </c>
      <c r="S2" s="182" t="s">
        <v>11</v>
      </c>
      <c r="T2" s="182"/>
      <c r="U2" s="182"/>
      <c r="V2" s="182" t="s">
        <v>12</v>
      </c>
      <c r="W2" s="182" t="s">
        <v>13</v>
      </c>
      <c r="X2" s="183" t="s">
        <v>14</v>
      </c>
      <c r="Y2" s="183" t="s">
        <v>15</v>
      </c>
      <c r="Z2" s="210" t="s">
        <v>16</v>
      </c>
      <c r="AA2" s="177" t="s">
        <v>17</v>
      </c>
      <c r="AB2" s="177" t="s">
        <v>18</v>
      </c>
      <c r="AC2" s="178" t="s">
        <v>19</v>
      </c>
      <c r="AD2" s="177" t="s">
        <v>20</v>
      </c>
      <c r="AE2" s="177" t="s">
        <v>21</v>
      </c>
      <c r="AF2" s="177" t="s">
        <v>22</v>
      </c>
      <c r="AG2" s="177" t="s">
        <v>23</v>
      </c>
      <c r="AH2" s="177" t="s">
        <v>24</v>
      </c>
      <c r="AI2" s="177" t="s">
        <v>25</v>
      </c>
      <c r="AJ2" s="177" t="s">
        <v>26</v>
      </c>
      <c r="AK2" s="209" t="s">
        <v>27</v>
      </c>
      <c r="AL2" s="177" t="s">
        <v>28</v>
      </c>
      <c r="AM2" s="176" t="s">
        <v>29</v>
      </c>
      <c r="AN2" s="184" t="s">
        <v>30</v>
      </c>
      <c r="AO2" s="184" t="s">
        <v>31</v>
      </c>
      <c r="AP2" s="184" t="s">
        <v>32</v>
      </c>
      <c r="AQ2" s="186" t="s">
        <v>33</v>
      </c>
      <c r="AR2" s="187" t="s">
        <v>34</v>
      </c>
      <c r="AS2" s="180" t="s">
        <v>35</v>
      </c>
      <c r="AT2" s="180" t="s">
        <v>36</v>
      </c>
      <c r="AU2" s="175" t="s">
        <v>37</v>
      </c>
      <c r="AV2" s="231" t="s">
        <v>57</v>
      </c>
      <c r="AW2" s="213" t="s">
        <v>7</v>
      </c>
      <c r="AX2" s="213" t="s">
        <v>8</v>
      </c>
    </row>
    <row r="3" spans="1:50">
      <c r="A3" s="196"/>
      <c r="B3" s="197"/>
      <c r="C3" s="14" t="s">
        <v>38</v>
      </c>
      <c r="D3" s="15" t="s">
        <v>39</v>
      </c>
      <c r="E3" s="15" t="s">
        <v>40</v>
      </c>
      <c r="F3" s="199"/>
      <c r="G3" s="199"/>
      <c r="H3" s="188"/>
      <c r="I3" s="189"/>
      <c r="J3" s="190"/>
      <c r="K3" s="16" t="s">
        <v>38</v>
      </c>
      <c r="L3" s="16" t="s">
        <v>39</v>
      </c>
      <c r="M3" s="16" t="s">
        <v>40</v>
      </c>
      <c r="N3" s="185"/>
      <c r="O3" s="185"/>
      <c r="P3" s="184"/>
      <c r="Q3" s="184"/>
      <c r="R3" s="187"/>
      <c r="S3" s="17" t="s">
        <v>38</v>
      </c>
      <c r="T3" s="17" t="s">
        <v>39</v>
      </c>
      <c r="U3" s="17" t="s">
        <v>40</v>
      </c>
      <c r="V3" s="182"/>
      <c r="W3" s="182"/>
      <c r="X3" s="183"/>
      <c r="Y3" s="183"/>
      <c r="Z3" s="210"/>
      <c r="AA3" s="177"/>
      <c r="AB3" s="177"/>
      <c r="AC3" s="179"/>
      <c r="AD3" s="177"/>
      <c r="AE3" s="177"/>
      <c r="AF3" s="177"/>
      <c r="AG3" s="177"/>
      <c r="AH3" s="177"/>
      <c r="AI3" s="177"/>
      <c r="AJ3" s="177"/>
      <c r="AK3" s="209"/>
      <c r="AL3" s="177"/>
      <c r="AM3" s="176"/>
      <c r="AN3" s="184"/>
      <c r="AO3" s="185"/>
      <c r="AP3" s="184"/>
      <c r="AQ3" s="186"/>
      <c r="AR3" s="187"/>
      <c r="AS3" s="180"/>
      <c r="AT3" s="180"/>
      <c r="AU3" s="175"/>
      <c r="AV3" s="231"/>
      <c r="AW3" s="213"/>
      <c r="AX3" s="213"/>
    </row>
    <row r="4" spans="1:50">
      <c r="A4" s="32"/>
      <c r="B4" s="34" t="s">
        <v>58</v>
      </c>
      <c r="C4" s="37"/>
      <c r="D4" s="38">
        <v>2</v>
      </c>
      <c r="E4" s="38"/>
      <c r="F4" s="62"/>
      <c r="G4" s="62"/>
      <c r="H4" s="32"/>
      <c r="I4" s="57"/>
      <c r="J4" s="33"/>
      <c r="K4" s="79"/>
      <c r="L4" s="38">
        <v>1</v>
      </c>
      <c r="M4" s="79"/>
      <c r="N4" s="31"/>
      <c r="O4" s="31"/>
      <c r="P4" s="32"/>
      <c r="Q4" s="32"/>
      <c r="R4" s="33"/>
      <c r="S4" s="38">
        <v>4</v>
      </c>
      <c r="T4" s="79"/>
      <c r="U4" s="79"/>
      <c r="V4" s="31"/>
      <c r="W4" s="31"/>
      <c r="X4" s="32"/>
      <c r="Y4" s="32"/>
      <c r="Z4" s="32"/>
      <c r="AA4" s="88"/>
      <c r="AB4" s="93">
        <f>C4+D4+E4+K4+L4+M4+S4+T4+U4</f>
        <v>7</v>
      </c>
      <c r="AC4" s="49"/>
      <c r="AD4" s="98"/>
      <c r="AE4" s="32"/>
      <c r="AF4" s="98"/>
      <c r="AG4" s="32"/>
      <c r="AH4" s="98"/>
      <c r="AI4" s="32"/>
      <c r="AJ4" s="98"/>
      <c r="AK4" s="35"/>
      <c r="AL4" s="32"/>
      <c r="AM4" s="35"/>
      <c r="AN4" s="58"/>
      <c r="AO4" s="59"/>
      <c r="AP4" s="58"/>
      <c r="AQ4" s="60"/>
      <c r="AR4" s="61"/>
      <c r="AS4" s="32"/>
      <c r="AT4" s="32"/>
      <c r="AU4" s="36"/>
      <c r="AW4" s="213"/>
      <c r="AX4" s="213"/>
    </row>
    <row r="5" spans="1:50">
      <c r="A5" s="216" t="s">
        <v>41</v>
      </c>
      <c r="B5" s="8" t="s">
        <v>42</v>
      </c>
      <c r="C5" s="39">
        <v>1</v>
      </c>
      <c r="D5" s="40">
        <v>1</v>
      </c>
      <c r="E5" s="40"/>
      <c r="F5" s="40"/>
      <c r="G5" s="40"/>
      <c r="H5" s="40">
        <v>2</v>
      </c>
      <c r="I5" s="54">
        <v>13332203</v>
      </c>
      <c r="J5" s="3">
        <v>1</v>
      </c>
      <c r="K5" s="40">
        <v>1</v>
      </c>
      <c r="L5" s="40">
        <v>1</v>
      </c>
      <c r="M5" s="40">
        <v>1</v>
      </c>
      <c r="N5" s="2"/>
      <c r="O5" s="2"/>
      <c r="P5" s="2"/>
      <c r="Q5" s="54">
        <v>7837368</v>
      </c>
      <c r="R5" s="3"/>
      <c r="S5" s="40">
        <v>2</v>
      </c>
      <c r="T5" s="40"/>
      <c r="U5" s="40"/>
      <c r="V5" s="40">
        <v>3</v>
      </c>
      <c r="W5" s="40"/>
      <c r="X5" s="40">
        <v>2</v>
      </c>
      <c r="Y5" s="105">
        <f>167251+1000000</f>
        <v>1167251</v>
      </c>
      <c r="Z5" s="40">
        <v>6</v>
      </c>
      <c r="AA5" s="89">
        <v>5</v>
      </c>
      <c r="AB5" s="94">
        <f>C5+D5+E5+K5+L5+M5+S5+T5+U5</f>
        <v>7</v>
      </c>
      <c r="AC5" s="146">
        <f>96835899+274963884.33+111092804</f>
        <v>482892587.32999998</v>
      </c>
      <c r="AD5" s="89">
        <f>IF(AB5&lt;7,6,AB5)</f>
        <v>7</v>
      </c>
      <c r="AE5" s="18">
        <f t="shared" ref="AE5:AE22" si="0">F5+N5+V5</f>
        <v>3</v>
      </c>
      <c r="AF5" s="89">
        <v>1</v>
      </c>
      <c r="AG5" s="18">
        <f t="shared" ref="AG5:AG22" si="1">G5+O5+W5</f>
        <v>0</v>
      </c>
      <c r="AH5" s="89">
        <f>AB5</f>
        <v>7</v>
      </c>
      <c r="AI5" s="18">
        <f>H5+P5+X5</f>
        <v>4</v>
      </c>
      <c r="AJ5" s="99">
        <f>AC5*0.08</f>
        <v>38631406.986400001</v>
      </c>
      <c r="AK5" s="102">
        <f>I5+Q5+Y5</f>
        <v>22336822</v>
      </c>
      <c r="AL5" s="18">
        <f>AB5</f>
        <v>7</v>
      </c>
      <c r="AM5" s="94">
        <f>J5+R5+Z5</f>
        <v>7</v>
      </c>
      <c r="AN5" s="26">
        <f>IFERROR(MIN((AB5/AA5)*0.5,50%),0)</f>
        <v>0.5</v>
      </c>
      <c r="AO5" s="29">
        <f>IFERROR(
   IF(AND(AG5&lt;1,AE5&gt;=AD5),
      0.174,
      MIN(((AG5+AE5)/AD5)*0.2,20%)
   ),
   0
)</f>
        <v>8.5714285714285715E-2</v>
      </c>
      <c r="AP5" s="29">
        <f>IFERROR(MIN((AI5/AH5)*0.1,10%),0)</f>
        <v>5.7142857142857141E-2</v>
      </c>
      <c r="AQ5" s="29">
        <f>IFERROR(IF(AND(AB5=0,AK5&gt;0),10%,MIN((AK5/AJ5)*0.1,10%)),0)</f>
        <v>5.7820368820280271E-2</v>
      </c>
      <c r="AR5" s="45">
        <f>IFERROR(MIN((AM5/AL5)*0.1,10%),0)</f>
        <v>0.1</v>
      </c>
      <c r="AS5" s="29">
        <f>IFERROR(AN5+AO5+AP5+AQ5+AR5,0)</f>
        <v>0.80067751167742318</v>
      </c>
      <c r="AT5" s="18" t="str" cm="1">
        <f t="array" ref="AT5">_xlfn.IFS(AS5&lt;60%,"C",AS5&gt;=60%,"B",AS5&gt;=80,"A")</f>
        <v>B</v>
      </c>
      <c r="AU5" s="26" cm="1">
        <f t="array" ref="AU5">_xlfn.IFS(AS5&gt;=80%,0.05,AS5&gt;=60%,0.03,AS5&lt;60%,0)</f>
        <v>0.05</v>
      </c>
      <c r="AV5" s="172">
        <f>AVERAGE(AS5:AS10)</f>
        <v>0.78466847416845942</v>
      </c>
      <c r="AW5" s="238">
        <f>10000*AV5</f>
        <v>7846.684741684594</v>
      </c>
      <c r="AX5" s="238">
        <f>AW5*216</f>
        <v>1694883.9042038722</v>
      </c>
    </row>
    <row r="6" spans="1:50" ht="17.25" customHeight="1">
      <c r="A6" s="216"/>
      <c r="B6" s="9" t="s">
        <v>43</v>
      </c>
      <c r="C6" s="39"/>
      <c r="D6" s="40"/>
      <c r="E6" s="40"/>
      <c r="F6" s="40"/>
      <c r="G6" s="40"/>
      <c r="H6" s="40"/>
      <c r="I6" s="54"/>
      <c r="J6" s="3"/>
      <c r="K6" s="40"/>
      <c r="L6" s="40"/>
      <c r="M6" s="40"/>
      <c r="N6" s="2"/>
      <c r="O6" s="2"/>
      <c r="P6" s="2"/>
      <c r="Q6" s="2"/>
      <c r="R6" s="3"/>
      <c r="S6" s="40"/>
      <c r="T6" s="40"/>
      <c r="U6" s="40"/>
      <c r="V6" s="40"/>
      <c r="W6" s="40"/>
      <c r="X6" s="40"/>
      <c r="Y6" s="40"/>
      <c r="Z6" s="40">
        <v>0</v>
      </c>
      <c r="AA6" s="89">
        <v>1</v>
      </c>
      <c r="AB6" s="94">
        <v>1</v>
      </c>
      <c r="AC6" s="53">
        <v>0</v>
      </c>
      <c r="AD6" s="89">
        <f t="shared" ref="AD6:AD22" si="2">IF(AB6&lt;7,6,AB6)</f>
        <v>6</v>
      </c>
      <c r="AE6" s="18">
        <f t="shared" si="0"/>
        <v>0</v>
      </c>
      <c r="AF6" s="89">
        <v>1</v>
      </c>
      <c r="AG6" s="18">
        <f t="shared" si="1"/>
        <v>0</v>
      </c>
      <c r="AH6" s="89">
        <f t="shared" ref="AH6:AH22" si="3">AB6</f>
        <v>1</v>
      </c>
      <c r="AI6" s="18">
        <f t="shared" ref="AI6:AI10" si="4">H6+P6+X6</f>
        <v>0</v>
      </c>
      <c r="AJ6" s="99">
        <v>1000000</v>
      </c>
      <c r="AK6" s="102">
        <f>I6+Q7+Y6</f>
        <v>1426858</v>
      </c>
      <c r="AL6" s="18">
        <f t="shared" ref="AL6:AL22" si="5">AB6</f>
        <v>1</v>
      </c>
      <c r="AM6" s="94">
        <f>J6+R6+Z6</f>
        <v>0</v>
      </c>
      <c r="AN6" s="26">
        <f>IFERROR(MIN((AB6/AA6)*0.5,50%),0)</f>
        <v>0.5</v>
      </c>
      <c r="AO6" s="29">
        <f>IFERROR(
   IF(AND(AG6&lt;1,AE6&gt;=AD6),
      0.174,
      MIN(((AG6+AE6)/AD6)*0.2,20%)
   ),
   0
)</f>
        <v>0</v>
      </c>
      <c r="AP6" s="29">
        <f>IFERROR(MIN((AI6/AH6)*0.1,10%),0)</f>
        <v>0</v>
      </c>
      <c r="AQ6" s="29">
        <f>IFERROR(IF(AND(AB6=0,AK6&gt;0),10%,MIN((AK6/AJ6)*0.1,10%)),0)</f>
        <v>0.1</v>
      </c>
      <c r="AR6" s="45">
        <f>IFERROR(MIN((AM6/AL6)*0.1,10%),0)</f>
        <v>0</v>
      </c>
      <c r="AS6" s="29">
        <f>IFERROR(AN6+AO6+AP6+AQ6+AR6,0)</f>
        <v>0.6</v>
      </c>
      <c r="AT6" s="18" t="str" cm="1">
        <f t="array" ref="AT6">_xlfn.IFS(AS6&lt;60%,"C",AS6&gt;=60%,"B",AS6&gt;=80,"A")</f>
        <v>B</v>
      </c>
      <c r="AU6" s="26" cm="1">
        <f t="array" ref="AU6">_xlfn.IFS(AS6&gt;=80%,0.05,AS6&gt;=60%,0.03,AS6&lt;60%,0)</f>
        <v>0.03</v>
      </c>
      <c r="AV6" s="173"/>
      <c r="AW6" s="239"/>
      <c r="AX6" s="239"/>
    </row>
    <row r="7" spans="1:50">
      <c r="A7" s="216"/>
      <c r="B7" s="8" t="s">
        <v>44</v>
      </c>
      <c r="C7" s="39"/>
      <c r="D7" s="40"/>
      <c r="E7" s="40"/>
      <c r="F7" s="40"/>
      <c r="G7" s="40"/>
      <c r="H7" s="40"/>
      <c r="I7" s="54">
        <v>11915462</v>
      </c>
      <c r="J7" s="3"/>
      <c r="K7" s="40"/>
      <c r="L7" s="40">
        <v>2</v>
      </c>
      <c r="M7" s="40"/>
      <c r="N7" s="2"/>
      <c r="O7" s="2"/>
      <c r="P7" s="2"/>
      <c r="Q7" s="54">
        <v>1426858</v>
      </c>
      <c r="R7" s="3"/>
      <c r="S7" s="40"/>
      <c r="T7" s="40"/>
      <c r="U7" s="40"/>
      <c r="V7" s="40"/>
      <c r="W7" s="40"/>
      <c r="X7" s="40"/>
      <c r="Y7" s="105">
        <v>6446846</v>
      </c>
      <c r="Z7" s="40">
        <v>2</v>
      </c>
      <c r="AA7" s="89">
        <v>2</v>
      </c>
      <c r="AB7" s="94">
        <f>C7+D7+E7+K7+L7+M7+S7+T7+U7</f>
        <v>2</v>
      </c>
      <c r="AC7" s="53">
        <f>56406934+134587432</f>
        <v>190994366</v>
      </c>
      <c r="AD7" s="89">
        <f t="shared" si="2"/>
        <v>6</v>
      </c>
      <c r="AE7" s="18">
        <f t="shared" si="0"/>
        <v>0</v>
      </c>
      <c r="AF7" s="89">
        <v>1</v>
      </c>
      <c r="AG7" s="18">
        <f t="shared" si="1"/>
        <v>0</v>
      </c>
      <c r="AH7" s="89">
        <f t="shared" si="3"/>
        <v>2</v>
      </c>
      <c r="AI7" s="18">
        <f t="shared" si="4"/>
        <v>0</v>
      </c>
      <c r="AJ7" s="99">
        <f t="shared" ref="AJ6:AJ22" si="6">AC7*0.08</f>
        <v>15279549.280000001</v>
      </c>
      <c r="AK7" s="102">
        <f>I7+Q7+Y7</f>
        <v>19789166</v>
      </c>
      <c r="AL7" s="18">
        <f t="shared" si="5"/>
        <v>2</v>
      </c>
      <c r="AM7" s="94">
        <f t="shared" ref="AM6:AM22" si="7">J7+R7+Z7</f>
        <v>2</v>
      </c>
      <c r="AN7" s="26">
        <f>IFERROR(MIN((AB7/AA7)*0.5,50%),0)</f>
        <v>0.5</v>
      </c>
      <c r="AO7" s="29">
        <f>IFERROR(
   IF(AND(AG7&lt;1,AE7&gt;=AD7),
      0.174,
      MIN(((AG7+AE7)/AD7)*0.2,20%)
   ),
   0
)</f>
        <v>0</v>
      </c>
      <c r="AP7" s="29">
        <f>IFERROR(MIN((AI7/AH7)*0.1,10%),0)</f>
        <v>0</v>
      </c>
      <c r="AQ7" s="29">
        <f>IFERROR(IF(AND(AB7=0,AK7&gt;0),10%,MIN((AK7/AJ7)*0.1,10%)),0)</f>
        <v>0.1</v>
      </c>
      <c r="AR7" s="45">
        <f>IFERROR(MIN((AM7/AL7)*0.1,10%),0)</f>
        <v>0.1</v>
      </c>
      <c r="AS7" s="29">
        <f>IFERROR(AN7+AO7+AP7+AQ7+AR7,0)</f>
        <v>0.7</v>
      </c>
      <c r="AT7" s="18" t="str" cm="1">
        <f t="array" ref="AT7">_xlfn.IFS(AS7&lt;60%,"C",AS7&gt;=60%,"B",AS7&gt;=80,"A")</f>
        <v>B</v>
      </c>
      <c r="AU7" s="26" cm="1">
        <f t="array" ref="AU7">_xlfn.IFS(AS7&gt;=80%,0.05,AS7&gt;=60%,0.03,AS7&lt;60%,0)</f>
        <v>0.03</v>
      </c>
      <c r="AV7" s="173"/>
      <c r="AW7" s="239"/>
      <c r="AX7" s="239"/>
    </row>
    <row r="8" spans="1:50">
      <c r="A8" s="216"/>
      <c r="B8" s="8" t="s">
        <v>45</v>
      </c>
      <c r="C8" s="39"/>
      <c r="D8" s="40"/>
      <c r="E8" s="40">
        <v>1</v>
      </c>
      <c r="F8" s="40"/>
      <c r="G8" s="40"/>
      <c r="H8" s="40">
        <v>1</v>
      </c>
      <c r="I8" s="54">
        <v>9801979</v>
      </c>
      <c r="J8" s="3">
        <v>1</v>
      </c>
      <c r="K8" s="40"/>
      <c r="L8" s="40"/>
      <c r="M8" s="40"/>
      <c r="N8" s="2"/>
      <c r="O8" s="2"/>
      <c r="P8" s="2"/>
      <c r="Q8" s="54">
        <v>9249001</v>
      </c>
      <c r="R8" s="3"/>
      <c r="S8" s="40"/>
      <c r="T8" s="40"/>
      <c r="U8" s="40"/>
      <c r="V8" s="40"/>
      <c r="W8" s="40">
        <v>1</v>
      </c>
      <c r="X8" s="40"/>
      <c r="Y8" s="105">
        <f>3661945+7226835</f>
        <v>10888780</v>
      </c>
      <c r="Z8" s="40"/>
      <c r="AA8" s="89">
        <v>1</v>
      </c>
      <c r="AB8" s="94">
        <f t="shared" ref="AB8:AB25" si="8">C8+D8+E8+K8+L8+M8+S8+T8+U8</f>
        <v>1</v>
      </c>
      <c r="AC8" s="53">
        <v>84196816</v>
      </c>
      <c r="AD8" s="89">
        <f t="shared" si="2"/>
        <v>6</v>
      </c>
      <c r="AE8" s="18">
        <f t="shared" si="0"/>
        <v>0</v>
      </c>
      <c r="AF8" s="89">
        <v>1</v>
      </c>
      <c r="AG8" s="18">
        <f t="shared" si="1"/>
        <v>1</v>
      </c>
      <c r="AH8" s="89">
        <f t="shared" si="3"/>
        <v>1</v>
      </c>
      <c r="AI8" s="18">
        <f t="shared" si="4"/>
        <v>1</v>
      </c>
      <c r="AJ8" s="99">
        <f t="shared" si="6"/>
        <v>6735745.2800000003</v>
      </c>
      <c r="AK8" s="102">
        <f t="shared" ref="AK8:AK10" si="9">I8+Q8+Y8</f>
        <v>29939760</v>
      </c>
      <c r="AL8" s="18">
        <f t="shared" si="5"/>
        <v>1</v>
      </c>
      <c r="AM8" s="94">
        <f t="shared" si="7"/>
        <v>1</v>
      </c>
      <c r="AN8" s="26">
        <f>IFERROR(MIN((AB8/AA8)*0.5,50%),0)</f>
        <v>0.5</v>
      </c>
      <c r="AO8" s="29">
        <f>IFERROR(
   IF(AND(AG8&lt;1,AE8&gt;=AD8),
      0.174,
      MIN(((AG8+AE8)/AD8)*0.2,20%)
   ),
   0
)</f>
        <v>3.3333333333333333E-2</v>
      </c>
      <c r="AP8" s="29">
        <f>IFERROR(MIN((AI8/AH8)*0.1,10%),0)</f>
        <v>0.1</v>
      </c>
      <c r="AQ8" s="29">
        <f>IFERROR(IF(AND(AB8=0,AK8&gt;0),10%,MIN((AK8/AJ8)*0.1,10%)),0)</f>
        <v>0.1</v>
      </c>
      <c r="AR8" s="45">
        <f>IFERROR(MIN((AM8/AL8)*0.1,10%),0)</f>
        <v>0.1</v>
      </c>
      <c r="AS8" s="29">
        <f>IFERROR(AN8+AO8+AP8+AQ8+AR8,0)</f>
        <v>0.83333333333333326</v>
      </c>
      <c r="AT8" s="18" t="str" cm="1">
        <f t="array" ref="AT8">_xlfn.IFS(AS8&lt;60%,"C",AS8&gt;=60%,"B",AS8&gt;=80,"A")</f>
        <v>B</v>
      </c>
      <c r="AU8" s="26" cm="1">
        <f t="array" ref="AU8">_xlfn.IFS(AS8&gt;=80%,0.05,AS8&gt;=60%,0.03,AS8&lt;60%,0)</f>
        <v>0.05</v>
      </c>
      <c r="AV8" s="173"/>
      <c r="AW8" s="239"/>
      <c r="AX8" s="239"/>
    </row>
    <row r="9" spans="1:50">
      <c r="A9" s="216"/>
      <c r="B9" s="8" t="s">
        <v>46</v>
      </c>
      <c r="C9" s="39"/>
      <c r="D9" s="40"/>
      <c r="E9" s="40"/>
      <c r="F9" s="63"/>
      <c r="G9" s="40"/>
      <c r="H9" s="40"/>
      <c r="I9" s="54">
        <v>3530681</v>
      </c>
      <c r="J9" s="3"/>
      <c r="K9" s="40"/>
      <c r="L9" s="40"/>
      <c r="M9" s="40"/>
      <c r="N9" s="2">
        <v>1</v>
      </c>
      <c r="O9" s="2"/>
      <c r="P9" s="2">
        <v>2</v>
      </c>
      <c r="Q9" s="54">
        <v>8514466</v>
      </c>
      <c r="R9" s="3">
        <v>1</v>
      </c>
      <c r="S9" s="40"/>
      <c r="T9" s="40">
        <v>2</v>
      </c>
      <c r="U9" s="40"/>
      <c r="V9" s="40">
        <v>6</v>
      </c>
      <c r="W9" s="40"/>
      <c r="X9" s="40"/>
      <c r="Y9" s="105">
        <f>5540879+6102837</f>
        <v>11643716</v>
      </c>
      <c r="Z9" s="40">
        <v>2</v>
      </c>
      <c r="AA9" s="89">
        <v>2</v>
      </c>
      <c r="AB9" s="94">
        <f t="shared" si="8"/>
        <v>2</v>
      </c>
      <c r="AC9" s="53">
        <v>163046826</v>
      </c>
      <c r="AD9" s="89">
        <f t="shared" si="2"/>
        <v>6</v>
      </c>
      <c r="AE9" s="18">
        <f t="shared" si="0"/>
        <v>7</v>
      </c>
      <c r="AF9" s="89">
        <v>1</v>
      </c>
      <c r="AG9" s="18">
        <f t="shared" si="1"/>
        <v>0</v>
      </c>
      <c r="AH9" s="89">
        <f t="shared" si="3"/>
        <v>2</v>
      </c>
      <c r="AI9" s="18">
        <f t="shared" si="4"/>
        <v>2</v>
      </c>
      <c r="AJ9" s="99">
        <f t="shared" si="6"/>
        <v>13043746.08</v>
      </c>
      <c r="AK9" s="102">
        <f t="shared" si="9"/>
        <v>23688863</v>
      </c>
      <c r="AL9" s="18">
        <f t="shared" si="5"/>
        <v>2</v>
      </c>
      <c r="AM9" s="94">
        <f t="shared" si="7"/>
        <v>3</v>
      </c>
      <c r="AN9" s="26">
        <f>IFERROR(MIN((AB9/AA9)*0.5,50%),0)</f>
        <v>0.5</v>
      </c>
      <c r="AO9" s="29">
        <f>IFERROR(
   IF(AND(AG9&lt;1,AE9&gt;=AD9),
      0.174,
      MIN(((AG9+AE9)/AD9)*0.2,20%)
   ),
   0
)</f>
        <v>0.17399999999999999</v>
      </c>
      <c r="AP9" s="29">
        <f>IFERROR(MIN((AI9/AH9)*0.1,10%),0)</f>
        <v>0.1</v>
      </c>
      <c r="AQ9" s="29">
        <f>IFERROR(IF(AND(AB9=0,AK9&gt;0),10%,MIN((AK9/AJ9)*0.1,10%)),0)</f>
        <v>0.1</v>
      </c>
      <c r="AR9" s="45">
        <f>IFERROR(MIN((AM9/AL9)*0.1,10%),0)</f>
        <v>0.1</v>
      </c>
      <c r="AS9" s="29">
        <f>IFERROR(AN9+AO9+AP9+AQ9+AR9,0)</f>
        <v>0.97399999999999987</v>
      </c>
      <c r="AT9" s="18" t="str" cm="1">
        <f t="array" ref="AT9">_xlfn.IFS(AS9&lt;60%,"C",AS9&gt;=60%,"B",AS9&gt;=80,"A")</f>
        <v>B</v>
      </c>
      <c r="AU9" s="26" cm="1">
        <f t="array" ref="AU9">_xlfn.IFS(AS9&gt;=80%,0.05,AS9&gt;=60%,0.03,AS9&lt;60%,0)</f>
        <v>0.05</v>
      </c>
      <c r="AV9" s="173"/>
      <c r="AW9" s="239"/>
      <c r="AX9" s="239"/>
    </row>
    <row r="10" spans="1:50">
      <c r="A10" s="216"/>
      <c r="B10" s="8" t="s">
        <v>59</v>
      </c>
      <c r="C10" s="39"/>
      <c r="D10" s="40">
        <v>3</v>
      </c>
      <c r="E10" s="40">
        <v>1</v>
      </c>
      <c r="F10" s="40"/>
      <c r="G10" s="40"/>
      <c r="H10" s="40"/>
      <c r="I10" s="54">
        <v>49922150</v>
      </c>
      <c r="J10" s="3"/>
      <c r="K10" s="40"/>
      <c r="L10" s="40">
        <v>10</v>
      </c>
      <c r="M10" s="40"/>
      <c r="N10" s="2">
        <v>3</v>
      </c>
      <c r="O10" s="2"/>
      <c r="P10" s="2"/>
      <c r="Q10" s="82">
        <v>26079838</v>
      </c>
      <c r="R10" s="3"/>
      <c r="S10" s="40"/>
      <c r="T10" s="40"/>
      <c r="U10" s="40"/>
      <c r="V10" s="40">
        <v>4</v>
      </c>
      <c r="W10" s="40"/>
      <c r="X10" s="40"/>
      <c r="Y10" s="105">
        <f>6328844+34522288</f>
        <v>40851132</v>
      </c>
      <c r="Z10" s="40">
        <v>14</v>
      </c>
      <c r="AA10" s="89">
        <v>7</v>
      </c>
      <c r="AB10" s="94">
        <f t="shared" si="8"/>
        <v>14</v>
      </c>
      <c r="AC10" s="151">
        <f>238172379+536687980</f>
        <v>774860359</v>
      </c>
      <c r="AD10" s="89">
        <f t="shared" si="2"/>
        <v>14</v>
      </c>
      <c r="AE10" s="18">
        <f t="shared" si="0"/>
        <v>7</v>
      </c>
      <c r="AF10" s="89">
        <v>1</v>
      </c>
      <c r="AG10" s="18">
        <f t="shared" si="1"/>
        <v>0</v>
      </c>
      <c r="AH10" s="89">
        <f t="shared" si="3"/>
        <v>14</v>
      </c>
      <c r="AI10" s="18">
        <f t="shared" si="4"/>
        <v>0</v>
      </c>
      <c r="AJ10" s="99">
        <f t="shared" si="6"/>
        <v>61988828.719999999</v>
      </c>
      <c r="AK10" s="102">
        <f t="shared" si="9"/>
        <v>116853120</v>
      </c>
      <c r="AL10" s="25">
        <f t="shared" si="5"/>
        <v>14</v>
      </c>
      <c r="AM10" s="94">
        <f t="shared" si="7"/>
        <v>14</v>
      </c>
      <c r="AN10" s="26">
        <f>IFERROR(MIN((AB10/AA10)*0.5,50%),0)</f>
        <v>0.5</v>
      </c>
      <c r="AO10" s="29">
        <f>IFERROR(
   IF(AND(AG10&lt;1,AE10&gt;=AD10),
      0.174,
      MIN(((AG10+AE10)/AD10)*0.2,20%)
   ),
   0
)</f>
        <v>0.1</v>
      </c>
      <c r="AP10" s="29">
        <f>IFERROR(MIN((AI10/AH10)*0.1,10%),0)</f>
        <v>0</v>
      </c>
      <c r="AQ10" s="29">
        <f>IFERROR(IF(AND(AB10=0,AK10&gt;0),10%,MIN((AK10/AJ10)*0.1,10%)),0)</f>
        <v>0.1</v>
      </c>
      <c r="AR10" s="45">
        <f>IFERROR(MIN((AM10/AL10)*0.1,10%),0)</f>
        <v>0.1</v>
      </c>
      <c r="AS10" s="29">
        <f>IFERROR(AN10+AO10+AP10+AQ10+AR10,0)</f>
        <v>0.79999999999999993</v>
      </c>
      <c r="AT10" s="18" t="str" cm="1">
        <f t="array" ref="AT10">_xlfn.IFS(AS10&lt;60%,"C",AS10&gt;=60%,"B",AS10&gt;=80,"A")</f>
        <v>B</v>
      </c>
      <c r="AU10" s="26" cm="1">
        <f t="array" ref="AU10">_xlfn.IFS(AS10&gt;=80%,0.05,AS10&gt;=60%,0.03,AS10&lt;60%,0)</f>
        <v>0.05</v>
      </c>
      <c r="AV10" s="174"/>
      <c r="AW10" s="240"/>
      <c r="AX10" s="239"/>
    </row>
    <row r="11" spans="1:50">
      <c r="A11" s="160" t="s">
        <v>47</v>
      </c>
      <c r="B11" s="10" t="s">
        <v>48</v>
      </c>
      <c r="C11" s="41"/>
      <c r="D11" s="42">
        <v>4</v>
      </c>
      <c r="E11" s="42">
        <v>2</v>
      </c>
      <c r="F11" s="42">
        <v>1</v>
      </c>
      <c r="G11" s="42"/>
      <c r="H11" s="64">
        <v>5</v>
      </c>
      <c r="I11" s="55">
        <v>53212018</v>
      </c>
      <c r="J11" s="5"/>
      <c r="K11" s="42"/>
      <c r="L11" s="42">
        <v>5</v>
      </c>
      <c r="M11" s="42">
        <v>4</v>
      </c>
      <c r="N11" s="4">
        <v>6</v>
      </c>
      <c r="O11" s="4"/>
      <c r="P11" s="4">
        <v>8</v>
      </c>
      <c r="Q11" s="55">
        <v>24905024</v>
      </c>
      <c r="R11" s="5"/>
      <c r="S11" s="42"/>
      <c r="T11" s="42">
        <v>1</v>
      </c>
      <c r="U11" s="42">
        <v>1</v>
      </c>
      <c r="V11" s="42">
        <v>5</v>
      </c>
      <c r="W11" s="112">
        <v>1</v>
      </c>
      <c r="X11" s="42">
        <v>7</v>
      </c>
      <c r="Y11" s="106">
        <f>57273765+69144307</f>
        <v>126418072</v>
      </c>
      <c r="Z11" s="42">
        <v>15</v>
      </c>
      <c r="AA11" s="90">
        <v>14</v>
      </c>
      <c r="AB11" s="95">
        <f t="shared" si="8"/>
        <v>17</v>
      </c>
      <c r="AC11" s="66">
        <f>544671807+740249058+93104329</f>
        <v>1378025194</v>
      </c>
      <c r="AD11" s="90">
        <f t="shared" ref="AD11:AD28" si="10">IF(AB11&lt;7,6,AB11)</f>
        <v>17</v>
      </c>
      <c r="AE11" s="19">
        <f t="shared" si="0"/>
        <v>12</v>
      </c>
      <c r="AF11" s="90">
        <v>1</v>
      </c>
      <c r="AG11" s="19">
        <f t="shared" si="1"/>
        <v>1</v>
      </c>
      <c r="AH11" s="90">
        <f t="shared" ref="AH11:AH28" si="11">AB11</f>
        <v>17</v>
      </c>
      <c r="AI11" s="19">
        <f t="shared" ref="AI11:AI28" si="12">H11+P11+X11</f>
        <v>20</v>
      </c>
      <c r="AJ11" s="100">
        <f>AC11*0.08</f>
        <v>110242015.52</v>
      </c>
      <c r="AK11" s="103">
        <f>I11+Q11+Y11</f>
        <v>204535114</v>
      </c>
      <c r="AL11" s="19">
        <f t="shared" si="5"/>
        <v>17</v>
      </c>
      <c r="AM11" s="95">
        <f t="shared" si="7"/>
        <v>15</v>
      </c>
      <c r="AN11" s="27">
        <f>IFERROR(MIN((AB11/AA11)*0.5,50%),0)</f>
        <v>0.5</v>
      </c>
      <c r="AO11" s="76">
        <f>IFERROR(
   IF(AND(AG11&lt;1,AE11&gt;=AD11),
      0.174,
      MIN(((AG11+AE11)/AD11)*0.2,20%)
   ),
   0
)</f>
        <v>0.15294117647058825</v>
      </c>
      <c r="AP11" s="76">
        <f>IFERROR(MIN((AI11/AH11)*0.1,10%),0)</f>
        <v>0.1</v>
      </c>
      <c r="AQ11" s="76">
        <f>IFERROR(IF(AND(AB11=0,AK11&gt;0),10%,MIN((AK11/AJ11)*0.1,10%)),0)</f>
        <v>0.1</v>
      </c>
      <c r="AR11" s="77">
        <f>IFERROR(MIN((AM11/AL11)*0.1,10%),0)</f>
        <v>8.8235294117647065E-2</v>
      </c>
      <c r="AS11" s="76">
        <f>IFERROR(AN11+AO11+AP11+AQ11+AR11,0)</f>
        <v>0.94117647058823528</v>
      </c>
      <c r="AT11" s="19" t="str" cm="1">
        <f t="array" ref="AT11">_xlfn.IFS(AS11&lt;60%,"C",AS11&gt;=60%,"B",AS11&gt;=80,"A")</f>
        <v>B</v>
      </c>
      <c r="AU11" s="27" cm="1">
        <f t="array" ref="AU11">_xlfn.IFS(AS11&gt;=80%,0.05,AS11&gt;=60%,0.03,AS11&lt;60%,0)</f>
        <v>0.05</v>
      </c>
      <c r="AV11" s="232">
        <f>AVERAGE(AS11:AS17)</f>
        <v>0.80400164560486043</v>
      </c>
      <c r="AW11" s="241">
        <f>10000*AV11</f>
        <v>8040.0164560486046</v>
      </c>
      <c r="AX11" s="244">
        <f>AW11*216</f>
        <v>1736643.5545064986</v>
      </c>
    </row>
    <row r="12" spans="1:50" ht="15.75" customHeight="1">
      <c r="A12" s="161"/>
      <c r="B12" s="11" t="s">
        <v>60</v>
      </c>
      <c r="C12" s="41"/>
      <c r="D12" s="42">
        <v>1</v>
      </c>
      <c r="E12" s="42"/>
      <c r="F12" s="42"/>
      <c r="G12" s="42"/>
      <c r="H12" s="4"/>
      <c r="I12" s="55"/>
      <c r="J12" s="5"/>
      <c r="K12" s="42"/>
      <c r="L12" s="42"/>
      <c r="M12" s="42"/>
      <c r="N12" s="4"/>
      <c r="O12" s="4"/>
      <c r="P12" s="4"/>
      <c r="Q12" s="55">
        <v>2553696</v>
      </c>
      <c r="R12" s="5"/>
      <c r="S12" s="42"/>
      <c r="T12" s="42">
        <v>1</v>
      </c>
      <c r="U12" s="42"/>
      <c r="V12" s="42">
        <v>2</v>
      </c>
      <c r="W12" s="42"/>
      <c r="X12" s="42"/>
      <c r="Y12" s="42"/>
      <c r="Z12" s="42">
        <v>2</v>
      </c>
      <c r="AA12" s="90">
        <v>2</v>
      </c>
      <c r="AB12" s="95">
        <f t="shared" si="8"/>
        <v>2</v>
      </c>
      <c r="AC12" s="66">
        <f>82668776+83590758+83590758</f>
        <v>249850292</v>
      </c>
      <c r="AD12" s="90">
        <f t="shared" si="10"/>
        <v>6</v>
      </c>
      <c r="AE12" s="19">
        <f t="shared" si="0"/>
        <v>2</v>
      </c>
      <c r="AF12" s="90">
        <v>1</v>
      </c>
      <c r="AG12" s="19">
        <f t="shared" si="1"/>
        <v>0</v>
      </c>
      <c r="AH12" s="90">
        <f t="shared" si="11"/>
        <v>2</v>
      </c>
      <c r="AI12" s="19">
        <f t="shared" si="12"/>
        <v>0</v>
      </c>
      <c r="AJ12" s="100">
        <f t="shared" ref="AJ12:AJ28" si="13">AC12*0.08</f>
        <v>19988023.359999999</v>
      </c>
      <c r="AK12" s="103">
        <f>I12+Q12+Y12</f>
        <v>2553696</v>
      </c>
      <c r="AL12" s="19">
        <f t="shared" si="5"/>
        <v>2</v>
      </c>
      <c r="AM12" s="95">
        <f t="shared" si="7"/>
        <v>2</v>
      </c>
      <c r="AN12" s="27">
        <f>IFERROR(MIN((AB12/AA12)*0.5,50%),0)</f>
        <v>0.5</v>
      </c>
      <c r="AO12" s="76">
        <f>IFERROR(
   IF(AND(AG12&lt;1,AE12&gt;=AD12),
      0.174,
      MIN(((AG12+AE12)/AD12)*0.2,20%)
   ),
   0
)</f>
        <v>6.6666666666666666E-2</v>
      </c>
      <c r="AP12" s="76">
        <f>IFERROR(MIN((AI12/AH12)*0.1,10%),0)</f>
        <v>0</v>
      </c>
      <c r="AQ12" s="76">
        <f>IFERROR(IF(AND(AB12=0,AK12&gt;0),10%,MIN((AK12/AJ12)*0.1,10%)),0)</f>
        <v>1.2776130755932839E-2</v>
      </c>
      <c r="AR12" s="77">
        <f>IFERROR(MIN((AM12/AL12)*0.1,10%),0)</f>
        <v>0.1</v>
      </c>
      <c r="AS12" s="76">
        <f>IFERROR(AN12+AO12+AP12+AQ12+AR12,0)</f>
        <v>0.6794427974225995</v>
      </c>
      <c r="AT12" s="19" t="str" cm="1">
        <f t="array" ref="AT12">_xlfn.IFS(AS12&lt;60%,"C",AS12&gt;=60%,"B",AS12&gt;=80,"A")</f>
        <v>B</v>
      </c>
      <c r="AU12" s="27" cm="1">
        <f t="array" ref="AU12">_xlfn.IFS(AS12&gt;=80%,0.05,AS12&gt;=60%,0.03,AS12&lt;60%,0)</f>
        <v>0.03</v>
      </c>
      <c r="AV12" s="232"/>
      <c r="AW12" s="242"/>
      <c r="AX12" s="244"/>
    </row>
    <row r="13" spans="1:50">
      <c r="A13" s="161"/>
      <c r="B13" s="10" t="s">
        <v>61</v>
      </c>
      <c r="C13" s="41"/>
      <c r="D13" s="42"/>
      <c r="E13" s="42"/>
      <c r="F13" s="42">
        <v>1</v>
      </c>
      <c r="G13" s="42"/>
      <c r="H13" s="4"/>
      <c r="I13" s="55">
        <v>4378090</v>
      </c>
      <c r="J13" s="5"/>
      <c r="K13" s="42"/>
      <c r="L13" s="42"/>
      <c r="M13" s="42"/>
      <c r="N13" s="4">
        <v>2</v>
      </c>
      <c r="O13" s="4"/>
      <c r="P13" s="4"/>
      <c r="Q13" s="55">
        <v>794267</v>
      </c>
      <c r="R13" s="5"/>
      <c r="S13" s="42"/>
      <c r="T13" s="42"/>
      <c r="U13" s="42"/>
      <c r="V13" s="42"/>
      <c r="W13" s="42"/>
      <c r="X13" s="42"/>
      <c r="Y13" s="106">
        <f>3536204+7725812</f>
        <v>11262016</v>
      </c>
      <c r="Z13" s="42"/>
      <c r="AA13" s="90">
        <v>1</v>
      </c>
      <c r="AB13" s="95">
        <v>1</v>
      </c>
      <c r="AC13" s="66">
        <v>52000000</v>
      </c>
      <c r="AD13" s="90">
        <f t="shared" si="10"/>
        <v>6</v>
      </c>
      <c r="AE13" s="19">
        <f t="shared" si="0"/>
        <v>3</v>
      </c>
      <c r="AF13" s="90">
        <v>1</v>
      </c>
      <c r="AG13" s="19">
        <f t="shared" si="1"/>
        <v>0</v>
      </c>
      <c r="AH13" s="90">
        <v>2</v>
      </c>
      <c r="AI13" s="19">
        <f t="shared" si="12"/>
        <v>0</v>
      </c>
      <c r="AJ13" s="100">
        <f t="shared" si="13"/>
        <v>4160000</v>
      </c>
      <c r="AK13" s="103">
        <f>I13+Q13+Y13</f>
        <v>16434373</v>
      </c>
      <c r="AL13" s="19">
        <f t="shared" si="5"/>
        <v>1</v>
      </c>
      <c r="AM13" s="95">
        <v>1</v>
      </c>
      <c r="AN13" s="27">
        <f>IFERROR(MIN((AB13/AA13)*0.5,50%),0)</f>
        <v>0.5</v>
      </c>
      <c r="AO13" s="76">
        <f>IFERROR(
   IF(AND(AG13&lt;1,AE13&gt;=AD13),
      0.174,
      MIN(((AG13+AE13)/AD13)*0.2,20%)
   ),
   0
)</f>
        <v>0.1</v>
      </c>
      <c r="AP13" s="76">
        <f>IFERROR(MIN((AI13/AH13)*0.1,10%),0)</f>
        <v>0</v>
      </c>
      <c r="AQ13" s="76">
        <f>IFERROR(IF(AND(AB13=0,AK13&gt;0),10%,MIN((AK13/AJ13)*0.1,10%)),0)</f>
        <v>0.1</v>
      </c>
      <c r="AR13" s="77">
        <f>IFERROR(MIN((AM13/AL13)*0.1,10%),0)</f>
        <v>0.1</v>
      </c>
      <c r="AS13" s="76">
        <f>IFERROR(AN13+AO13+AP13+AQ13+AR13,0)</f>
        <v>0.79999999999999993</v>
      </c>
      <c r="AT13" s="19" t="str" cm="1">
        <f t="array" ref="AT13">_xlfn.IFS(AS13&lt;60%,"C",AS13&gt;=60%,"B",AS13&gt;=80,"A")</f>
        <v>B</v>
      </c>
      <c r="AU13" s="27" cm="1">
        <f t="array" ref="AU13">_xlfn.IFS(AS13&gt;=80%,0.05,AS13&gt;=60%,0.03,AS13&lt;60%,0)</f>
        <v>0.05</v>
      </c>
      <c r="AV13" s="232"/>
      <c r="AW13" s="242"/>
      <c r="AX13" s="244"/>
    </row>
    <row r="14" spans="1:50" ht="16.5" customHeight="1">
      <c r="A14" s="161"/>
      <c r="B14" s="11" t="s">
        <v>62</v>
      </c>
      <c r="C14" s="41">
        <v>2</v>
      </c>
      <c r="D14" s="42"/>
      <c r="E14" s="42"/>
      <c r="F14" s="42"/>
      <c r="G14" s="42"/>
      <c r="H14" s="4"/>
      <c r="I14" s="55">
        <v>33686</v>
      </c>
      <c r="J14" s="5"/>
      <c r="K14" s="42">
        <v>3</v>
      </c>
      <c r="L14" s="42"/>
      <c r="M14" s="42"/>
      <c r="N14" s="4">
        <v>1</v>
      </c>
      <c r="O14" s="4"/>
      <c r="P14" s="4"/>
      <c r="Q14" s="4"/>
      <c r="R14" s="5"/>
      <c r="S14" s="42"/>
      <c r="T14" s="42"/>
      <c r="U14" s="42"/>
      <c r="V14" s="42">
        <v>4</v>
      </c>
      <c r="W14" s="42">
        <v>1</v>
      </c>
      <c r="X14" s="42"/>
      <c r="Y14" s="106">
        <v>525760</v>
      </c>
      <c r="Z14" s="42">
        <v>5</v>
      </c>
      <c r="AA14" s="90">
        <v>4</v>
      </c>
      <c r="AB14" s="95">
        <f t="shared" si="8"/>
        <v>5</v>
      </c>
      <c r="AC14" s="66">
        <f>67706933+129804213</f>
        <v>197511146</v>
      </c>
      <c r="AD14" s="90">
        <f t="shared" si="10"/>
        <v>6</v>
      </c>
      <c r="AE14" s="19">
        <f t="shared" si="0"/>
        <v>5</v>
      </c>
      <c r="AF14" s="90">
        <v>1</v>
      </c>
      <c r="AG14" s="19">
        <f t="shared" si="1"/>
        <v>1</v>
      </c>
      <c r="AH14" s="90">
        <v>4</v>
      </c>
      <c r="AI14" s="19">
        <f t="shared" si="12"/>
        <v>0</v>
      </c>
      <c r="AJ14" s="100">
        <f t="shared" si="13"/>
        <v>15800891.68</v>
      </c>
      <c r="AK14" s="103">
        <f>I14+Q14+Y14</f>
        <v>559446</v>
      </c>
      <c r="AL14" s="19">
        <f t="shared" si="5"/>
        <v>5</v>
      </c>
      <c r="AM14" s="95">
        <f t="shared" si="7"/>
        <v>5</v>
      </c>
      <c r="AN14" s="27">
        <f>IFERROR(MIN((AB14/AA14)*0.5,50%),0)</f>
        <v>0.5</v>
      </c>
      <c r="AO14" s="76">
        <f>IFERROR(
   IF(AND(AG14&lt;1,AE14&gt;=AD14),
      0.174,
      MIN(((AG14+AE14)/AD14)*0.2,20%)
   ),
   0
)</f>
        <v>0.2</v>
      </c>
      <c r="AP14" s="76">
        <f>IFERROR(MIN((AI14/AH14)*0.1,10%),0)</f>
        <v>0</v>
      </c>
      <c r="AQ14" s="76">
        <f>IFERROR(IF(AND(AB14=0,AK14&gt;0),10%,MIN((AK14/AJ14)*0.1,10%)),0)</f>
        <v>3.5405976531572556E-3</v>
      </c>
      <c r="AR14" s="77">
        <f>IFERROR(MIN((AM14/AL14)*0.1,10%),0)</f>
        <v>0.1</v>
      </c>
      <c r="AS14" s="76">
        <f>IFERROR(AN14+AO14+AP14+AQ14+AR14,0)</f>
        <v>0.80354059765315722</v>
      </c>
      <c r="AT14" s="19" t="str" cm="1">
        <f t="array" ref="AT14">_xlfn.IFS(AS14&lt;60%,"C",AS14&gt;=60%,"B",AS14&gt;=80,"A")</f>
        <v>B</v>
      </c>
      <c r="AU14" s="27" cm="1">
        <f t="array" ref="AU14">_xlfn.IFS(AS14&gt;=80%,0.05,AS14&gt;=60%,0.03,AS14&lt;60%,0)</f>
        <v>0.05</v>
      </c>
      <c r="AV14" s="232"/>
      <c r="AW14" s="242"/>
      <c r="AX14" s="244"/>
    </row>
    <row r="15" spans="1:50">
      <c r="A15" s="161"/>
      <c r="B15" s="10" t="s">
        <v>49</v>
      </c>
      <c r="C15" s="41"/>
      <c r="D15" s="42"/>
      <c r="E15" s="42"/>
      <c r="F15" s="42"/>
      <c r="G15" s="42"/>
      <c r="H15" s="4"/>
      <c r="I15" s="55">
        <v>334526</v>
      </c>
      <c r="J15" s="5"/>
      <c r="K15" s="42"/>
      <c r="L15" s="42"/>
      <c r="M15" s="42">
        <v>1</v>
      </c>
      <c r="N15" s="4"/>
      <c r="O15" s="4"/>
      <c r="P15" s="4"/>
      <c r="Q15" s="55">
        <v>11361360</v>
      </c>
      <c r="R15" s="5"/>
      <c r="S15" s="42"/>
      <c r="T15" s="42"/>
      <c r="U15" s="42">
        <v>1</v>
      </c>
      <c r="V15" s="42">
        <v>3</v>
      </c>
      <c r="W15" s="42">
        <v>1</v>
      </c>
      <c r="X15" s="42"/>
      <c r="Y15" s="106">
        <f>1036688+1947099</f>
        <v>2983787</v>
      </c>
      <c r="Z15" s="42">
        <v>2</v>
      </c>
      <c r="AA15" s="90">
        <v>2</v>
      </c>
      <c r="AB15" s="95">
        <f t="shared" si="8"/>
        <v>2</v>
      </c>
      <c r="AC15" s="66">
        <f>91189958+80032223</f>
        <v>171222181</v>
      </c>
      <c r="AD15" s="90">
        <f t="shared" si="10"/>
        <v>6</v>
      </c>
      <c r="AE15" s="19">
        <f t="shared" si="0"/>
        <v>3</v>
      </c>
      <c r="AF15" s="90">
        <v>1</v>
      </c>
      <c r="AG15" s="19">
        <f t="shared" si="1"/>
        <v>1</v>
      </c>
      <c r="AH15" s="90">
        <v>3</v>
      </c>
      <c r="AI15" s="19">
        <f t="shared" si="12"/>
        <v>0</v>
      </c>
      <c r="AJ15" s="100">
        <f>AC15*0.08</f>
        <v>13697774.48</v>
      </c>
      <c r="AK15" s="103">
        <f>I15+Q15+Y15</f>
        <v>14679673</v>
      </c>
      <c r="AL15" s="19">
        <f t="shared" si="5"/>
        <v>2</v>
      </c>
      <c r="AM15" s="95">
        <f t="shared" si="7"/>
        <v>2</v>
      </c>
      <c r="AN15" s="27">
        <f>IFERROR(MIN((AB15/AA15)*0.5,50%),0)</f>
        <v>0.5</v>
      </c>
      <c r="AO15" s="76">
        <f>IFERROR(
   IF(AND(AG15&lt;1,AE15&gt;=AD15),
      0.174,
      MIN(((AG15+AE15)/AD15)*0.2,20%)
   ),
   0
)</f>
        <v>0.13333333333333333</v>
      </c>
      <c r="AP15" s="76">
        <f>IFERROR(MIN((AI15/AH15)*0.1,10%),0)</f>
        <v>0</v>
      </c>
      <c r="AQ15" s="76">
        <f>IFERROR(IF(AND(AB15=0,AK15&gt;0),10%,MIN((AK15/AJ15)*0.1,10%)),0)</f>
        <v>0.1</v>
      </c>
      <c r="AR15" s="77">
        <f>IFERROR(MIN((AM15/AL15)*0.1,10%),0)</f>
        <v>0.1</v>
      </c>
      <c r="AS15" s="76">
        <f>IFERROR(AN15+AO15+AP15+AQ15+AR15,0)</f>
        <v>0.83333333333333326</v>
      </c>
      <c r="AT15" s="19" t="str" cm="1">
        <f t="array" ref="AT15">_xlfn.IFS(AS15&lt;60%,"C",AS15&gt;=60%,"B",AS15&gt;=80,"A")</f>
        <v>B</v>
      </c>
      <c r="AU15" s="27" cm="1">
        <f t="array" ref="AU15">_xlfn.IFS(AS15&gt;=80%,0.05,AS15&gt;=60%,0.03,AS15&lt;60%,0)</f>
        <v>0.05</v>
      </c>
      <c r="AV15" s="232"/>
      <c r="AW15" s="242"/>
      <c r="AX15" s="244"/>
    </row>
    <row r="16" spans="1:50">
      <c r="A16" s="161"/>
      <c r="B16" s="10" t="s">
        <v>63</v>
      </c>
      <c r="C16" s="41">
        <v>1</v>
      </c>
      <c r="D16" s="42"/>
      <c r="E16" s="42"/>
      <c r="F16" s="42"/>
      <c r="G16" s="42">
        <v>1</v>
      </c>
      <c r="H16" s="4"/>
      <c r="I16" s="55"/>
      <c r="J16" s="5"/>
      <c r="K16" s="42"/>
      <c r="L16" s="42"/>
      <c r="M16" s="42">
        <v>1</v>
      </c>
      <c r="N16" s="4">
        <v>6</v>
      </c>
      <c r="O16" s="4"/>
      <c r="P16" s="4"/>
      <c r="Q16" s="4"/>
      <c r="R16" s="5"/>
      <c r="S16" s="42"/>
      <c r="T16" s="42"/>
      <c r="U16" s="42"/>
      <c r="V16" s="42"/>
      <c r="W16" s="42">
        <v>0</v>
      </c>
      <c r="X16" s="42"/>
      <c r="Y16" s="106">
        <v>362399</v>
      </c>
      <c r="Z16" s="42">
        <v>2</v>
      </c>
      <c r="AA16" s="90">
        <v>2</v>
      </c>
      <c r="AB16" s="95">
        <f t="shared" si="8"/>
        <v>2</v>
      </c>
      <c r="AC16" s="66">
        <f>53326498+64285001</f>
        <v>117611499</v>
      </c>
      <c r="AD16" s="90">
        <f t="shared" si="10"/>
        <v>6</v>
      </c>
      <c r="AE16" s="19">
        <f t="shared" si="0"/>
        <v>6</v>
      </c>
      <c r="AF16" s="90">
        <v>1</v>
      </c>
      <c r="AG16" s="19">
        <f t="shared" si="1"/>
        <v>1</v>
      </c>
      <c r="AH16" s="90">
        <v>2</v>
      </c>
      <c r="AI16" s="19">
        <f t="shared" si="12"/>
        <v>0</v>
      </c>
      <c r="AJ16" s="100">
        <f t="shared" si="13"/>
        <v>9408919.9199999999</v>
      </c>
      <c r="AK16" s="103">
        <f>I16+Q16+Y16</f>
        <v>362399</v>
      </c>
      <c r="AL16" s="19">
        <f t="shared" si="5"/>
        <v>2</v>
      </c>
      <c r="AM16" s="95">
        <f t="shared" si="7"/>
        <v>2</v>
      </c>
      <c r="AN16" s="27">
        <f>IFERROR(MIN((AB16/AA16)*0.5,50%),0)</f>
        <v>0.5</v>
      </c>
      <c r="AO16" s="76">
        <f>IFERROR(
   IF(AND(AG16&lt;1,AE16&gt;=AD16),
      0.174,
      MIN(((AG16+AE16)/AD16)*0.2,20%)
   ),
   0
)</f>
        <v>0.2</v>
      </c>
      <c r="AP16" s="76">
        <f>IFERROR(MIN((AI16/AH16)*0.1,10%),0)</f>
        <v>0</v>
      </c>
      <c r="AQ16" s="76">
        <f>IFERROR(IF(AND(AB16=0,AK16&gt;0),10%,MIN((AK16/AJ16)*0.1,10%)),0)</f>
        <v>3.8516535700305974E-3</v>
      </c>
      <c r="AR16" s="77">
        <f>IFERROR(MIN((AM16/AL16)*0.1,10%),0)</f>
        <v>0.1</v>
      </c>
      <c r="AS16" s="76">
        <f>IFERROR(AN16+AO16+AP16+AQ16+AR16,0)</f>
        <v>0.80385165357003052</v>
      </c>
      <c r="AT16" s="19" t="str" cm="1">
        <f t="array" ref="AT16">_xlfn.IFS(AS16&lt;60%,"C",AS16&gt;=60%,"B",AS16&gt;=80,"A")</f>
        <v>B</v>
      </c>
      <c r="AU16" s="27" cm="1">
        <f t="array" ref="AU16">_xlfn.IFS(AS16&gt;=80%,0.05,AS16&gt;=60%,0.03,AS16&lt;60%,0)</f>
        <v>0.05</v>
      </c>
      <c r="AV16" s="232"/>
      <c r="AW16" s="242"/>
      <c r="AX16" s="244"/>
    </row>
    <row r="17" spans="1:50">
      <c r="A17" s="161"/>
      <c r="B17" s="10" t="s">
        <v>50</v>
      </c>
      <c r="C17" s="41"/>
      <c r="D17" s="42"/>
      <c r="E17" s="42">
        <v>1</v>
      </c>
      <c r="F17" s="42"/>
      <c r="G17" s="42"/>
      <c r="H17" s="4"/>
      <c r="I17" s="55">
        <v>7314984</v>
      </c>
      <c r="J17" s="5">
        <v>1</v>
      </c>
      <c r="K17" s="42"/>
      <c r="L17" s="42">
        <v>2</v>
      </c>
      <c r="M17" s="42"/>
      <c r="N17" s="4">
        <v>1</v>
      </c>
      <c r="O17" s="4"/>
      <c r="P17" s="4"/>
      <c r="Q17" s="55">
        <v>152954</v>
      </c>
      <c r="R17" s="5"/>
      <c r="S17" s="42">
        <v>1</v>
      </c>
      <c r="T17" s="42"/>
      <c r="U17" s="42"/>
      <c r="V17" s="42">
        <v>1</v>
      </c>
      <c r="W17" s="42"/>
      <c r="X17" s="42"/>
      <c r="Y17" s="106">
        <f>1642067+9413142</f>
        <v>11055209</v>
      </c>
      <c r="Z17" s="42">
        <v>3</v>
      </c>
      <c r="AA17" s="90">
        <v>4</v>
      </c>
      <c r="AB17" s="95">
        <f t="shared" si="8"/>
        <v>4</v>
      </c>
      <c r="AC17" s="109">
        <f>84962678+114440094</f>
        <v>199402772</v>
      </c>
      <c r="AD17" s="90">
        <f t="shared" si="10"/>
        <v>6</v>
      </c>
      <c r="AE17" s="19">
        <f t="shared" si="0"/>
        <v>2</v>
      </c>
      <c r="AF17" s="90">
        <v>1</v>
      </c>
      <c r="AG17" s="19">
        <f t="shared" si="1"/>
        <v>0</v>
      </c>
      <c r="AH17" s="90">
        <v>4</v>
      </c>
      <c r="AI17" s="19">
        <f t="shared" si="12"/>
        <v>0</v>
      </c>
      <c r="AJ17" s="100">
        <f>AC17*0.08</f>
        <v>15952221.76</v>
      </c>
      <c r="AK17" s="103">
        <f>I17+Q17+Y17</f>
        <v>18523147</v>
      </c>
      <c r="AL17" s="19">
        <f t="shared" si="5"/>
        <v>4</v>
      </c>
      <c r="AM17" s="95">
        <f t="shared" si="7"/>
        <v>4</v>
      </c>
      <c r="AN17" s="27">
        <f>IFERROR(MIN((AB17/AA17)*0.5,50%),0)</f>
        <v>0.5</v>
      </c>
      <c r="AO17" s="76">
        <f>IFERROR(
   IF(AND(AG17&lt;1,AE17&gt;=AD17),
      0.174,
      MIN(((AG17+AE17)/AD17)*0.2,20%)
   ),
   0
)</f>
        <v>6.6666666666666666E-2</v>
      </c>
      <c r="AP17" s="76">
        <f>IFERROR(MIN((AI17/AH17)*0.1,10%),0)</f>
        <v>0</v>
      </c>
      <c r="AQ17" s="76">
        <f>IFERROR(IF(AND(AB17=0,AK17&gt;0),10%,MIN((AK17/AJ17)*0.1,10%)),0)</f>
        <v>0.1</v>
      </c>
      <c r="AR17" s="77">
        <f>IFERROR(MIN((AM17/AL17)*0.1,10%),0)</f>
        <v>0.1</v>
      </c>
      <c r="AS17" s="76">
        <f>IFERROR(AN17+AO17+AP17+AQ17+AR17,0)</f>
        <v>0.76666666666666661</v>
      </c>
      <c r="AT17" s="19" t="str" cm="1">
        <f t="array" ref="AT17">_xlfn.IFS(AS17&lt;60%,"C",AS17&gt;=60%,"B",AS17&gt;=80,"A")</f>
        <v>B</v>
      </c>
      <c r="AU17" s="27" cm="1">
        <f t="array" ref="AU17">_xlfn.IFS(AS17&gt;=80%,0.05,AS17&gt;=60%,0.03,AS17&lt;60%,0)</f>
        <v>0.03</v>
      </c>
      <c r="AV17" s="232"/>
      <c r="AW17" s="243"/>
      <c r="AX17" s="244"/>
    </row>
    <row r="18" spans="1:50" ht="15" customHeight="1">
      <c r="A18" s="162"/>
      <c r="B18" s="10" t="s">
        <v>64</v>
      </c>
      <c r="C18" s="41"/>
      <c r="D18" s="42"/>
      <c r="E18" s="42"/>
      <c r="F18" s="42"/>
      <c r="G18" s="42"/>
      <c r="H18" s="4"/>
      <c r="I18" s="55"/>
      <c r="J18" s="5"/>
      <c r="K18" s="42"/>
      <c r="L18" s="42"/>
      <c r="M18" s="42"/>
      <c r="N18" s="4"/>
      <c r="O18" s="4"/>
      <c r="P18" s="4"/>
      <c r="Q18" s="4"/>
      <c r="R18" s="5"/>
      <c r="S18" s="42"/>
      <c r="T18" s="42"/>
      <c r="U18" s="42"/>
      <c r="V18" s="42"/>
      <c r="W18" s="42"/>
      <c r="X18" s="42"/>
      <c r="Y18" s="42"/>
      <c r="Z18" s="42"/>
      <c r="AA18" s="90">
        <v>3</v>
      </c>
      <c r="AB18" s="95">
        <f t="shared" si="8"/>
        <v>0</v>
      </c>
      <c r="AC18" s="66"/>
      <c r="AD18" s="90">
        <f t="shared" si="10"/>
        <v>6</v>
      </c>
      <c r="AE18" s="19">
        <f t="shared" si="0"/>
        <v>0</v>
      </c>
      <c r="AF18" s="90">
        <v>1</v>
      </c>
      <c r="AG18" s="19">
        <f t="shared" si="1"/>
        <v>0</v>
      </c>
      <c r="AH18" s="90">
        <v>3</v>
      </c>
      <c r="AI18" s="19">
        <f t="shared" si="12"/>
        <v>0</v>
      </c>
      <c r="AJ18" s="100">
        <f t="shared" ref="AJ18:AJ34" si="14">AC18*0.08</f>
        <v>0</v>
      </c>
      <c r="AK18" s="103">
        <f>I18+Q18+Y18</f>
        <v>0</v>
      </c>
      <c r="AL18" s="19">
        <f t="shared" si="5"/>
        <v>0</v>
      </c>
      <c r="AM18" s="95">
        <f t="shared" si="7"/>
        <v>0</v>
      </c>
      <c r="AN18" s="27">
        <f>IFERROR(MIN((AB18/AA18)*0.5,50%),0)</f>
        <v>0</v>
      </c>
      <c r="AO18" s="76">
        <f>IFERROR(
   IF(AND(AG18&lt;1,AE18&gt;=AD18),
      0.174,
      MIN(((AG18+AE18)/AD18)*0.2,20%)
   ),
   0
)</f>
        <v>0</v>
      </c>
      <c r="AP18" s="76">
        <f>IFERROR(MIN((AI18/AH18)*0.1,10%),0)</f>
        <v>0</v>
      </c>
      <c r="AQ18" s="76">
        <f>IFERROR(IF(AND(AB18=0,AK18&gt;0),10%,MIN((AK18/AJ18)*0.1,10%)),0)</f>
        <v>0</v>
      </c>
      <c r="AR18" s="77">
        <f>IFERROR(MIN((AM18/AL18)*0.1,10%),0)</f>
        <v>0</v>
      </c>
      <c r="AS18" s="76">
        <f>IFERROR(AN18+AO18+AP18+AQ18+AR18,0)</f>
        <v>0</v>
      </c>
      <c r="AT18" s="19" t="str" cm="1">
        <f t="array" ref="AT18">_xlfn.IFS(AS18&lt;60%,"C",AS18&gt;=60%,"B",AS18&gt;=80,"A")</f>
        <v>C</v>
      </c>
      <c r="AU18" s="27" cm="1">
        <f t="array" ref="AU18">_xlfn.IFS(AS18&gt;=80%,0.05,AS18&gt;=60%,0.03,AS18&lt;60%,0)</f>
        <v>0</v>
      </c>
      <c r="AV18" s="232"/>
      <c r="AW18" s="114"/>
      <c r="AX18" s="114"/>
    </row>
    <row r="19" spans="1:50">
      <c r="A19" s="217" t="s">
        <v>65</v>
      </c>
      <c r="B19" s="12" t="s">
        <v>66</v>
      </c>
      <c r="C19" s="43"/>
      <c r="D19" s="44"/>
      <c r="E19" s="44"/>
      <c r="F19" s="44"/>
      <c r="G19" s="44">
        <v>1</v>
      </c>
      <c r="H19" s="6"/>
      <c r="I19" s="56"/>
      <c r="J19" s="7"/>
      <c r="K19" s="44"/>
      <c r="L19" s="44">
        <v>1</v>
      </c>
      <c r="M19" s="44">
        <v>1</v>
      </c>
      <c r="N19" s="6"/>
      <c r="O19" s="6"/>
      <c r="P19" s="6"/>
      <c r="Q19" s="56">
        <v>52031204</v>
      </c>
      <c r="R19" s="7"/>
      <c r="S19" s="44"/>
      <c r="T19" s="44"/>
      <c r="U19" s="44"/>
      <c r="V19" s="44">
        <v>1</v>
      </c>
      <c r="W19" s="44"/>
      <c r="X19" s="44"/>
      <c r="Y19" s="44"/>
      <c r="Z19" s="44">
        <v>2</v>
      </c>
      <c r="AA19" s="91">
        <v>2</v>
      </c>
      <c r="AB19" s="96">
        <f t="shared" si="8"/>
        <v>2</v>
      </c>
      <c r="AC19" s="80">
        <v>193621622</v>
      </c>
      <c r="AD19" s="91">
        <f t="shared" si="10"/>
        <v>6</v>
      </c>
      <c r="AE19" s="20">
        <f t="shared" si="0"/>
        <v>1</v>
      </c>
      <c r="AF19" s="91">
        <v>1</v>
      </c>
      <c r="AG19" s="20">
        <f t="shared" si="1"/>
        <v>1</v>
      </c>
      <c r="AH19" s="91">
        <f t="shared" ref="AH19:AH35" si="15">AB19</f>
        <v>2</v>
      </c>
      <c r="AI19" s="20">
        <f t="shared" si="12"/>
        <v>0</v>
      </c>
      <c r="AJ19" s="152">
        <f>AC19*0.08</f>
        <v>15489729.76</v>
      </c>
      <c r="AK19" s="104">
        <f>I19+Q19+Y19</f>
        <v>52031204</v>
      </c>
      <c r="AL19" s="20">
        <f t="shared" si="5"/>
        <v>2</v>
      </c>
      <c r="AM19" s="20">
        <f t="shared" si="7"/>
        <v>2</v>
      </c>
      <c r="AN19" s="28">
        <f>IFERROR(MIN((AB19/AA19)*0.5,50%),0)</f>
        <v>0.5</v>
      </c>
      <c r="AO19" s="70">
        <f>IFERROR(
   IF(AND(AG19&lt;1,AE19&gt;=AD19),
      0.174,
      MIN(((AG19+AE19)/AD19)*0.2,20%)
   ),
   0
)</f>
        <v>6.6666666666666666E-2</v>
      </c>
      <c r="AP19" s="70">
        <f>IFERROR(MIN((AI19/AH19)*0.1,10%),0)</f>
        <v>0</v>
      </c>
      <c r="AQ19" s="70">
        <f>IFERROR(IF(AND(AB19=0,AK19&gt;0),10%,MIN((AK19/AJ19)*0.1,10%)),0)</f>
        <v>0.1</v>
      </c>
      <c r="AR19" s="78">
        <f>IFERROR(MIN((AM19/AL19)*0.1,10%),0)</f>
        <v>0.1</v>
      </c>
      <c r="AS19" s="70">
        <f>IFERROR(AN19+AO19+AP19+AQ19+AR19,0)</f>
        <v>0.76666666666666661</v>
      </c>
      <c r="AT19" s="20" t="str" cm="1">
        <f t="array" ref="AT19">_xlfn.IFS(AS19&lt;60%,"C",AS19&gt;=60%,"B",AS19&gt;=80,"A")</f>
        <v>B</v>
      </c>
      <c r="AU19" s="28" cm="1">
        <f t="array" ref="AU19">_xlfn.IFS(AS19&gt;=80%,0.05,AS19&gt;=60%,0.03,AS19&lt;60%,0)</f>
        <v>0.03</v>
      </c>
      <c r="AV19" s="233">
        <f>AVERAGE(AS19:AS22)</f>
        <v>0.55653634756451498</v>
      </c>
      <c r="AW19" s="235">
        <f>10000*AV19</f>
        <v>5565.3634756451502</v>
      </c>
      <c r="AX19" s="236">
        <f>AW19*216</f>
        <v>1202118.5107393526</v>
      </c>
    </row>
    <row r="20" spans="1:50">
      <c r="A20" s="217"/>
      <c r="B20" s="12" t="s">
        <v>67</v>
      </c>
      <c r="C20" s="43"/>
      <c r="D20" s="44"/>
      <c r="E20" s="44"/>
      <c r="F20" s="44"/>
      <c r="G20" s="44">
        <v>1</v>
      </c>
      <c r="H20" s="6"/>
      <c r="I20" s="56"/>
      <c r="J20" s="7"/>
      <c r="K20" s="44"/>
      <c r="L20" s="44">
        <v>2</v>
      </c>
      <c r="M20" s="44">
        <v>1</v>
      </c>
      <c r="N20" s="6"/>
      <c r="O20" s="6"/>
      <c r="P20" s="6"/>
      <c r="Q20" s="56">
        <v>12321131</v>
      </c>
      <c r="R20" s="7">
        <v>3</v>
      </c>
      <c r="S20" s="44"/>
      <c r="T20" s="44">
        <v>3</v>
      </c>
      <c r="U20" s="44"/>
      <c r="V20" s="44">
        <v>4</v>
      </c>
      <c r="W20" s="44"/>
      <c r="X20" s="44"/>
      <c r="Y20" s="107">
        <f>12322408+15729829</f>
        <v>28052237</v>
      </c>
      <c r="Z20" s="44">
        <v>3</v>
      </c>
      <c r="AA20" s="91">
        <v>3</v>
      </c>
      <c r="AB20" s="96">
        <f t="shared" si="8"/>
        <v>6</v>
      </c>
      <c r="AC20" s="81">
        <f>217149119+61192563+183774741</f>
        <v>462116423</v>
      </c>
      <c r="AD20" s="91">
        <f>IF(AB20&lt;7,5,AB20)</f>
        <v>5</v>
      </c>
      <c r="AE20" s="20">
        <f>F20+N20+V20</f>
        <v>4</v>
      </c>
      <c r="AF20" s="91">
        <v>1</v>
      </c>
      <c r="AG20" s="20">
        <f t="shared" si="1"/>
        <v>1</v>
      </c>
      <c r="AH20" s="91">
        <f t="shared" si="15"/>
        <v>6</v>
      </c>
      <c r="AI20" s="20">
        <f t="shared" si="12"/>
        <v>0</v>
      </c>
      <c r="AJ20" s="152">
        <f t="shared" si="14"/>
        <v>36969313.840000004</v>
      </c>
      <c r="AK20" s="104">
        <f>I20+Q20+Y20</f>
        <v>40373368</v>
      </c>
      <c r="AL20" s="20">
        <f t="shared" si="5"/>
        <v>6</v>
      </c>
      <c r="AM20" s="20">
        <f t="shared" si="7"/>
        <v>6</v>
      </c>
      <c r="AN20" s="28">
        <f>IFERROR(MIN((AB20/AA20)*0.5,50%),0)</f>
        <v>0.5</v>
      </c>
      <c r="AO20" s="70">
        <f>IFERROR(
   IF(AND(AG20&lt;1,AE20&gt;=AD20),
      0.174,
      MIN(((AG20+AE20)/AD20)*0.2,20%)
   ),
   0
)</f>
        <v>0.2</v>
      </c>
      <c r="AP20" s="70">
        <f>IFERROR(MIN((AI20/AH20)*0.1,10%),0)</f>
        <v>0</v>
      </c>
      <c r="AQ20" s="70">
        <f>IFERROR(IF(AND(AB20=0,AK20&gt;0),10%,MIN((AK20/AJ20)*0.1,10%)),0)</f>
        <v>0.1</v>
      </c>
      <c r="AR20" s="78">
        <f>IFERROR(MIN((AM20/AL20)*0.1,10%),0)</f>
        <v>0.1</v>
      </c>
      <c r="AS20" s="70">
        <f>IFERROR(AN20+AO20+AP20+AQ20+AR20,0)</f>
        <v>0.89999999999999991</v>
      </c>
      <c r="AT20" s="20" t="str" cm="1">
        <f t="array" ref="AT20">_xlfn.IFS(AS20&lt;60%,"C",AS20&gt;=60%,"B",AS20&gt;=80,"A")</f>
        <v>B</v>
      </c>
      <c r="AU20" s="28" cm="1">
        <f t="array" ref="AU20">_xlfn.IFS(AS20&gt;=80%,0.05,AS20&gt;=60%,0.03,AS20&lt;60%,0)</f>
        <v>0.05</v>
      </c>
      <c r="AV20" s="234"/>
      <c r="AW20" s="235"/>
      <c r="AX20" s="237"/>
    </row>
    <row r="21" spans="1:50">
      <c r="A21" s="217"/>
      <c r="B21" s="12" t="s">
        <v>52</v>
      </c>
      <c r="C21" s="43"/>
      <c r="D21" s="44"/>
      <c r="E21" s="44"/>
      <c r="F21" s="44"/>
      <c r="G21" s="44">
        <v>0</v>
      </c>
      <c r="H21" s="6"/>
      <c r="I21" s="56">
        <v>520598</v>
      </c>
      <c r="J21" s="7"/>
      <c r="K21" s="44"/>
      <c r="L21" s="44"/>
      <c r="M21" s="44"/>
      <c r="N21" s="6"/>
      <c r="O21" s="6"/>
      <c r="P21" s="6"/>
      <c r="Q21" s="56"/>
      <c r="R21" s="7"/>
      <c r="S21" s="44"/>
      <c r="T21" s="111"/>
      <c r="U21" s="44"/>
      <c r="V21" s="44">
        <v>2</v>
      </c>
      <c r="W21" s="44"/>
      <c r="X21" s="44"/>
      <c r="Y21" s="44"/>
      <c r="Z21" s="44">
        <v>1</v>
      </c>
      <c r="AA21" s="91">
        <v>1</v>
      </c>
      <c r="AB21" s="96">
        <f t="shared" si="8"/>
        <v>0</v>
      </c>
      <c r="AC21" s="51"/>
      <c r="AD21" s="91">
        <f t="shared" si="10"/>
        <v>6</v>
      </c>
      <c r="AE21" s="20">
        <f t="shared" si="0"/>
        <v>2</v>
      </c>
      <c r="AF21" s="91">
        <v>1</v>
      </c>
      <c r="AG21" s="20">
        <f t="shared" si="1"/>
        <v>0</v>
      </c>
      <c r="AH21" s="91">
        <f t="shared" si="15"/>
        <v>0</v>
      </c>
      <c r="AI21" s="20">
        <f t="shared" si="12"/>
        <v>0</v>
      </c>
      <c r="AJ21" s="152">
        <f t="shared" si="14"/>
        <v>0</v>
      </c>
      <c r="AK21" s="104">
        <f>I21+Q21+Y21</f>
        <v>520598</v>
      </c>
      <c r="AL21" s="20">
        <f t="shared" si="5"/>
        <v>0</v>
      </c>
      <c r="AM21" s="20">
        <f t="shared" si="7"/>
        <v>1</v>
      </c>
      <c r="AN21" s="28">
        <f>IFERROR(MIN((AB21/AA21)*0.5,50%),0)</f>
        <v>0</v>
      </c>
      <c r="AO21" s="70">
        <f>IFERROR(
   IF(AND(AG21&lt;1,AE21&gt;=AD21),
      0.174,
      MIN(((AG21+AE21)/AD21)*0.2,20%)
   ),
   0
)</f>
        <v>6.6666666666666666E-2</v>
      </c>
      <c r="AP21" s="70">
        <f>IFERROR(MIN((AI21/AH21)*0.1,10%),0)</f>
        <v>0</v>
      </c>
      <c r="AQ21" s="70">
        <f>IFERROR(IF(AND(AB21=0,AK21&gt;0),10%,MIN((AK21/AJ21)*0.1,10%)),0)</f>
        <v>0.1</v>
      </c>
      <c r="AR21" s="78">
        <f>IFERROR(MIN((AM21/AL21)*0.1,10%),0)</f>
        <v>0</v>
      </c>
      <c r="AS21" s="70">
        <f>IFERROR(AN21+AO21+AP21+AQ21+AR21,0)</f>
        <v>0.16666666666666669</v>
      </c>
      <c r="AT21" s="20" t="str" cm="1">
        <f t="array" ref="AT21">_xlfn.IFS(AS21&lt;60%,"C",AS21&gt;=60%,"B",AS21&gt;=80,"A")</f>
        <v>C</v>
      </c>
      <c r="AU21" s="28" cm="1">
        <f t="array" ref="AU21">_xlfn.IFS(AS21&gt;=80%,0.05,AS21&gt;=60%,0.03,AS21&lt;60%,0)</f>
        <v>0</v>
      </c>
      <c r="AV21" s="234"/>
      <c r="AW21" s="235"/>
      <c r="AX21" s="237"/>
    </row>
    <row r="22" spans="1:50">
      <c r="A22" s="217"/>
      <c r="B22" s="12" t="s">
        <v>53</v>
      </c>
      <c r="C22" s="83"/>
      <c r="D22" s="84"/>
      <c r="E22" s="84"/>
      <c r="F22" s="44"/>
      <c r="G22" s="44">
        <v>0</v>
      </c>
      <c r="H22" s="6"/>
      <c r="I22" s="56">
        <v>553928</v>
      </c>
      <c r="J22" s="7"/>
      <c r="K22" s="84"/>
      <c r="L22" s="84"/>
      <c r="M22" s="84"/>
      <c r="N22" s="6"/>
      <c r="O22" s="6"/>
      <c r="P22" s="6"/>
      <c r="Q22" s="56"/>
      <c r="R22" s="7"/>
      <c r="S22" s="84"/>
      <c r="T22" s="84">
        <v>1</v>
      </c>
      <c r="U22" s="110"/>
      <c r="V22" s="44">
        <v>1</v>
      </c>
      <c r="W22" s="44"/>
      <c r="X22" s="44"/>
      <c r="Y22" s="44"/>
      <c r="Z22" s="44">
        <v>2</v>
      </c>
      <c r="AA22" s="92">
        <v>2</v>
      </c>
      <c r="AB22" s="97">
        <f t="shared" si="8"/>
        <v>1</v>
      </c>
      <c r="AC22" s="81">
        <v>73048865</v>
      </c>
      <c r="AD22" s="91">
        <f t="shared" si="10"/>
        <v>6</v>
      </c>
      <c r="AE22" s="20">
        <f t="shared" si="0"/>
        <v>1</v>
      </c>
      <c r="AF22" s="91">
        <v>1</v>
      </c>
      <c r="AG22" s="20">
        <f t="shared" si="1"/>
        <v>0</v>
      </c>
      <c r="AH22" s="91">
        <f t="shared" si="15"/>
        <v>1</v>
      </c>
      <c r="AI22" s="20">
        <f t="shared" si="12"/>
        <v>0</v>
      </c>
      <c r="AJ22" s="152">
        <f t="shared" si="14"/>
        <v>5843909.2000000002</v>
      </c>
      <c r="AK22" s="104">
        <f>I22+Q22+Y22</f>
        <v>553928</v>
      </c>
      <c r="AL22" s="20">
        <f t="shared" si="5"/>
        <v>1</v>
      </c>
      <c r="AM22" s="20">
        <f t="shared" si="7"/>
        <v>2</v>
      </c>
      <c r="AN22" s="28">
        <f>IFERROR(MIN((AB22/AA22)*0.5,50%),0)</f>
        <v>0.25</v>
      </c>
      <c r="AO22" s="70">
        <f>IFERROR(
   IF(AND(AG22&lt;1,AE22&gt;=AD22),
      0.174,
      MIN(((AG22+AE22)/AD22)*0.2,20%)
   ),
   0
)</f>
        <v>3.3333333333333333E-2</v>
      </c>
      <c r="AP22" s="70">
        <f>IFERROR(MIN((AI22/AH22)*0.1,10%),0)</f>
        <v>0</v>
      </c>
      <c r="AQ22" s="70">
        <f>IFERROR(IF(AND(AB22=0,AK22&gt;0),10%,MIN((AK22/AJ22)*0.1,10%)),0)</f>
        <v>9.4787235913932413E-3</v>
      </c>
      <c r="AR22" s="78">
        <f>IFERROR(MIN((AM22/AL22)*0.1,10%),0)</f>
        <v>0.1</v>
      </c>
      <c r="AS22" s="70">
        <f>IFERROR(AN22+AO22+AP22+AQ22+AR22,0)</f>
        <v>0.39281205692472654</v>
      </c>
      <c r="AT22" s="20" t="str" cm="1">
        <f t="array" ref="AT22">_xlfn.IFS(AS22&lt;60%,"C",AS22&gt;=60%,"B",AS22&gt;=80,"A")</f>
        <v>C</v>
      </c>
      <c r="AU22" s="28" cm="1">
        <f t="array" ref="AU22">_xlfn.IFS(AS22&gt;=80%,0.05,AS22&gt;=60%,0.03,AS22&lt;60%,0)</f>
        <v>0</v>
      </c>
      <c r="AV22" s="234"/>
      <c r="AW22" s="236"/>
      <c r="AX22" s="237"/>
    </row>
    <row r="23" spans="1:50">
      <c r="C23" s="85">
        <f>SUM(C4:C22)</f>
        <v>4</v>
      </c>
      <c r="D23" s="85">
        <f>SUM(D4:D22)</f>
        <v>11</v>
      </c>
      <c r="E23" s="85">
        <f t="shared" ref="D23:E23" si="16">SUM(E4:E22)</f>
        <v>5</v>
      </c>
      <c r="K23" s="86">
        <f>SUM(K4:K22)</f>
        <v>4</v>
      </c>
      <c r="L23" s="86">
        <f t="shared" ref="L23:M23" si="17">SUM(L4:L22)</f>
        <v>24</v>
      </c>
      <c r="M23" s="86">
        <f t="shared" si="17"/>
        <v>9</v>
      </c>
      <c r="S23" s="157">
        <f>SUM(S4:S22)</f>
        <v>7</v>
      </c>
      <c r="T23" s="157">
        <f t="shared" ref="T23:U23" si="18">SUM(T4:T22)</f>
        <v>8</v>
      </c>
      <c r="U23" s="157">
        <f t="shared" si="18"/>
        <v>2</v>
      </c>
      <c r="AA23" s="87">
        <f>SUM(AA5:AA22)</f>
        <v>58</v>
      </c>
      <c r="AB23" s="87">
        <f>SUM(AB4:AB22)</f>
        <v>76</v>
      </c>
      <c r="AE23" s="113">
        <f>SUM(AE5:AE22)</f>
        <v>58</v>
      </c>
    </row>
    <row r="24" spans="1:50">
      <c r="C24" s="181">
        <f>SUM(C23:E23)</f>
        <v>20</v>
      </c>
      <c r="D24" s="181"/>
      <c r="E24" s="181"/>
      <c r="K24" s="181">
        <f>SUM(K23:M23)</f>
        <v>37</v>
      </c>
      <c r="L24" s="181"/>
      <c r="M24" s="181"/>
      <c r="S24" s="181">
        <f>SUM(S23:U23)</f>
        <v>17</v>
      </c>
      <c r="T24" s="181"/>
      <c r="U24" s="181"/>
    </row>
    <row r="26" spans="1:50">
      <c r="AJ26" s="150"/>
    </row>
  </sheetData>
  <sheetProtection sheet="1" objects="1" scenarios="1"/>
  <protectedRanges>
    <protectedRange sqref="C4:P22 Q7:Q22 Q4:Q5 R4:AA22" name="Rango1"/>
  </protectedRanges>
  <mergeCells count="65">
    <mergeCell ref="AW19:AW22"/>
    <mergeCell ref="AX19:AX22"/>
    <mergeCell ref="AW5:AW10"/>
    <mergeCell ref="AX5:AX10"/>
    <mergeCell ref="AW11:AW17"/>
    <mergeCell ref="AX11:AX17"/>
    <mergeCell ref="AW2:AW4"/>
    <mergeCell ref="AX2:AX4"/>
    <mergeCell ref="A11:A18"/>
    <mergeCell ref="A19:A22"/>
    <mergeCell ref="AQ2:AQ3"/>
    <mergeCell ref="AR2:AR3"/>
    <mergeCell ref="AS2:AS3"/>
    <mergeCell ref="Z2:Z3"/>
    <mergeCell ref="AA2:AA3"/>
    <mergeCell ref="AB2:AB3"/>
    <mergeCell ref="AC2:AC3"/>
    <mergeCell ref="AD2:AD3"/>
    <mergeCell ref="Q2:Q3"/>
    <mergeCell ref="R2:R3"/>
    <mergeCell ref="S2:U2"/>
    <mergeCell ref="V2:V3"/>
    <mergeCell ref="AO2:AO3"/>
    <mergeCell ref="AP2:AP3"/>
    <mergeCell ref="AE2:AE3"/>
    <mergeCell ref="AF2:AF3"/>
    <mergeCell ref="AG2:AG3"/>
    <mergeCell ref="AH2:AH3"/>
    <mergeCell ref="AI2:AI3"/>
    <mergeCell ref="AJ2:AJ3"/>
    <mergeCell ref="A5:A10"/>
    <mergeCell ref="AK2:AK3"/>
    <mergeCell ref="AL2:AL3"/>
    <mergeCell ref="AM2:AM3"/>
    <mergeCell ref="AN2:AN3"/>
    <mergeCell ref="Y2:Y3"/>
    <mergeCell ref="A2:A3"/>
    <mergeCell ref="B2:B3"/>
    <mergeCell ref="C2:E2"/>
    <mergeCell ref="F2:F3"/>
    <mergeCell ref="G2:G3"/>
    <mergeCell ref="W2:W3"/>
    <mergeCell ref="X2:X3"/>
    <mergeCell ref="AS1:AU1"/>
    <mergeCell ref="C1:J1"/>
    <mergeCell ref="K1:R1"/>
    <mergeCell ref="S1:Z1"/>
    <mergeCell ref="AA1:AM1"/>
    <mergeCell ref="AN1:AR1"/>
    <mergeCell ref="AV5:AV10"/>
    <mergeCell ref="AV2:AV3"/>
    <mergeCell ref="AV11:AV18"/>
    <mergeCell ref="AV19:AV22"/>
    <mergeCell ref="C24:E24"/>
    <mergeCell ref="K24:M24"/>
    <mergeCell ref="S24:U24"/>
    <mergeCell ref="P2:P3"/>
    <mergeCell ref="H2:H3"/>
    <mergeCell ref="I2:I3"/>
    <mergeCell ref="J2:J3"/>
    <mergeCell ref="K2:M2"/>
    <mergeCell ref="N2:N3"/>
    <mergeCell ref="O2:O3"/>
    <mergeCell ref="AT2:AT3"/>
    <mergeCell ref="AU2:AU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5BA0-E578-43AC-A78E-59816F32614F}">
  <dimension ref="A1:AX53"/>
  <sheetViews>
    <sheetView workbookViewId="0">
      <pane xSplit="2" ySplit="3" topLeftCell="R11" activePane="bottomRight" state="frozen"/>
      <selection pane="bottomRight" activeCell="A20" sqref="A20"/>
      <selection pane="bottomLeft"/>
      <selection pane="topRight"/>
    </sheetView>
  </sheetViews>
  <sheetFormatPr defaultRowHeight="15"/>
  <cols>
    <col min="1" max="1" width="21.28515625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0.28515625" customWidth="1"/>
    <col min="17" max="17" width="12.85546875" customWidth="1"/>
    <col min="18" max="18" width="13.7109375" customWidth="1"/>
    <col min="19" max="21" width="5.140625" bestFit="1" customWidth="1"/>
    <col min="25" max="25" width="17.5703125" bestFit="1" customWidth="1"/>
    <col min="26" max="26" width="13.140625" customWidth="1"/>
    <col min="27" max="27" width="9.85546875" style="21" customWidth="1"/>
    <col min="28" max="28" width="9.28515625" style="21" customWidth="1"/>
    <col min="29" max="29" width="16.42578125" style="21" bestFit="1" customWidth="1"/>
    <col min="30" max="30" width="8.5703125" style="21" customWidth="1"/>
    <col min="31" max="31" width="9.7109375" style="21" customWidth="1"/>
    <col min="32" max="32" width="9.140625" style="21"/>
    <col min="33" max="33" width="9.42578125" style="21" customWidth="1"/>
    <col min="34" max="34" width="12.7109375" style="21" customWidth="1"/>
    <col min="35" max="35" width="14.28515625" style="21" customWidth="1"/>
    <col min="36" max="36" width="15.7109375" style="21" customWidth="1"/>
    <col min="37" max="37" width="17.140625" style="1" bestFit="1" customWidth="1"/>
    <col min="38" max="38" width="13.42578125" style="21" customWidth="1"/>
    <col min="39" max="39" width="14" style="1" customWidth="1"/>
    <col min="40" max="40" width="10.5703125" style="21" customWidth="1"/>
    <col min="41" max="41" width="10.42578125" style="1" customWidth="1"/>
    <col min="42" max="43" width="10.85546875" style="1" customWidth="1"/>
    <col min="44" max="44" width="10" style="1" customWidth="1"/>
    <col min="45" max="45" width="12.85546875" style="21" customWidth="1"/>
    <col min="46" max="46" width="10.85546875" style="1" customWidth="1"/>
    <col min="47" max="47" width="9.5703125" style="1" customWidth="1"/>
    <col min="48" max="48" width="14.85546875" customWidth="1"/>
    <col min="49" max="49" width="17.85546875" hidden="1" customWidth="1"/>
    <col min="50" max="50" width="19.5703125" hidden="1" customWidth="1"/>
  </cols>
  <sheetData>
    <row r="1" spans="1:50">
      <c r="A1" s="13"/>
      <c r="B1" s="13"/>
      <c r="C1" s="191" t="s">
        <v>68</v>
      </c>
      <c r="D1" s="192"/>
      <c r="E1" s="192"/>
      <c r="F1" s="192"/>
      <c r="G1" s="192"/>
      <c r="H1" s="192"/>
      <c r="I1" s="192"/>
      <c r="J1" s="193"/>
      <c r="K1" s="194" t="s">
        <v>69</v>
      </c>
      <c r="L1" s="194"/>
      <c r="M1" s="194"/>
      <c r="N1" s="194"/>
      <c r="O1" s="194"/>
      <c r="P1" s="194"/>
      <c r="Q1" s="194"/>
      <c r="R1" s="195"/>
      <c r="S1" s="205" t="s">
        <v>70</v>
      </c>
      <c r="T1" s="205"/>
      <c r="U1" s="205"/>
      <c r="V1" s="205"/>
      <c r="W1" s="205"/>
      <c r="X1" s="205"/>
      <c r="Y1" s="205"/>
      <c r="Z1" s="206"/>
      <c r="AA1" s="207" t="s">
        <v>3</v>
      </c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8"/>
      <c r="AN1" s="185" t="s">
        <v>4</v>
      </c>
      <c r="AO1" s="185"/>
      <c r="AP1" s="185"/>
      <c r="AQ1" s="185"/>
      <c r="AR1" s="200"/>
      <c r="AS1" s="201" t="s">
        <v>5</v>
      </c>
      <c r="AT1" s="201"/>
      <c r="AU1" s="202"/>
      <c r="AV1" s="203" t="s">
        <v>71</v>
      </c>
      <c r="AW1" s="204"/>
      <c r="AX1" s="204"/>
    </row>
    <row r="2" spans="1:50" s="1" customFormat="1" ht="30.75" customHeight="1">
      <c r="A2" s="196" t="s">
        <v>9</v>
      </c>
      <c r="B2" s="197" t="s">
        <v>10</v>
      </c>
      <c r="C2" s="198" t="s">
        <v>11</v>
      </c>
      <c r="D2" s="199"/>
      <c r="E2" s="199"/>
      <c r="F2" s="199" t="s">
        <v>12</v>
      </c>
      <c r="G2" s="199" t="s">
        <v>13</v>
      </c>
      <c r="H2" s="188" t="s">
        <v>14</v>
      </c>
      <c r="I2" s="189" t="s">
        <v>15</v>
      </c>
      <c r="J2" s="190" t="s">
        <v>16</v>
      </c>
      <c r="K2" s="185" t="s">
        <v>11</v>
      </c>
      <c r="L2" s="185"/>
      <c r="M2" s="185"/>
      <c r="N2" s="185" t="s">
        <v>12</v>
      </c>
      <c r="O2" s="185" t="s">
        <v>13</v>
      </c>
      <c r="P2" s="184" t="s">
        <v>14</v>
      </c>
      <c r="Q2" s="184" t="s">
        <v>15</v>
      </c>
      <c r="R2" s="187" t="s">
        <v>16</v>
      </c>
      <c r="S2" s="182" t="s">
        <v>11</v>
      </c>
      <c r="T2" s="182"/>
      <c r="U2" s="182"/>
      <c r="V2" s="182" t="s">
        <v>12</v>
      </c>
      <c r="W2" s="182" t="s">
        <v>13</v>
      </c>
      <c r="X2" s="183" t="s">
        <v>14</v>
      </c>
      <c r="Y2" s="183" t="s">
        <v>15</v>
      </c>
      <c r="Z2" s="210" t="s">
        <v>16</v>
      </c>
      <c r="AA2" s="177" t="s">
        <v>17</v>
      </c>
      <c r="AB2" s="177" t="s">
        <v>18</v>
      </c>
      <c r="AC2" s="178" t="s">
        <v>19</v>
      </c>
      <c r="AD2" s="177" t="s">
        <v>20</v>
      </c>
      <c r="AE2" s="177" t="s">
        <v>21</v>
      </c>
      <c r="AF2" s="177" t="s">
        <v>22</v>
      </c>
      <c r="AG2" s="177" t="s">
        <v>23</v>
      </c>
      <c r="AH2" s="177" t="s">
        <v>24</v>
      </c>
      <c r="AI2" s="177" t="s">
        <v>25</v>
      </c>
      <c r="AJ2" s="177" t="s">
        <v>26</v>
      </c>
      <c r="AK2" s="209" t="s">
        <v>27</v>
      </c>
      <c r="AL2" s="177" t="s">
        <v>28</v>
      </c>
      <c r="AM2" s="176" t="s">
        <v>29</v>
      </c>
      <c r="AN2" s="184" t="s">
        <v>30</v>
      </c>
      <c r="AO2" s="184" t="s">
        <v>31</v>
      </c>
      <c r="AP2" s="184" t="s">
        <v>32</v>
      </c>
      <c r="AQ2" s="186" t="s">
        <v>33</v>
      </c>
      <c r="AR2" s="187" t="s">
        <v>34</v>
      </c>
      <c r="AS2" s="180" t="s">
        <v>35</v>
      </c>
      <c r="AT2" s="180" t="s">
        <v>36</v>
      </c>
      <c r="AU2" s="175" t="s">
        <v>37</v>
      </c>
      <c r="AV2" s="211" t="s">
        <v>57</v>
      </c>
      <c r="AW2" s="213" t="s">
        <v>7</v>
      </c>
      <c r="AX2" s="213" t="s">
        <v>8</v>
      </c>
    </row>
    <row r="3" spans="1:50">
      <c r="A3" s="196"/>
      <c r="B3" s="197"/>
      <c r="C3" s="14" t="s">
        <v>38</v>
      </c>
      <c r="D3" s="15" t="s">
        <v>39</v>
      </c>
      <c r="E3" s="15" t="s">
        <v>40</v>
      </c>
      <c r="F3" s="199"/>
      <c r="G3" s="199"/>
      <c r="H3" s="188"/>
      <c r="I3" s="189"/>
      <c r="J3" s="190"/>
      <c r="K3" s="16" t="s">
        <v>38</v>
      </c>
      <c r="L3" s="16" t="s">
        <v>39</v>
      </c>
      <c r="M3" s="16" t="s">
        <v>40</v>
      </c>
      <c r="N3" s="185"/>
      <c r="O3" s="185"/>
      <c r="P3" s="184"/>
      <c r="Q3" s="184"/>
      <c r="R3" s="187"/>
      <c r="S3" s="17" t="s">
        <v>38</v>
      </c>
      <c r="T3" s="17" t="s">
        <v>39</v>
      </c>
      <c r="U3" s="17" t="s">
        <v>40</v>
      </c>
      <c r="V3" s="182"/>
      <c r="W3" s="182"/>
      <c r="X3" s="183"/>
      <c r="Y3" s="183"/>
      <c r="Z3" s="210"/>
      <c r="AA3" s="177"/>
      <c r="AB3" s="177"/>
      <c r="AC3" s="179"/>
      <c r="AD3" s="177"/>
      <c r="AE3" s="177"/>
      <c r="AF3" s="177"/>
      <c r="AG3" s="177"/>
      <c r="AH3" s="177"/>
      <c r="AI3" s="177"/>
      <c r="AJ3" s="177"/>
      <c r="AK3" s="209"/>
      <c r="AL3" s="177"/>
      <c r="AM3" s="176"/>
      <c r="AN3" s="184"/>
      <c r="AO3" s="185"/>
      <c r="AP3" s="184"/>
      <c r="AQ3" s="186"/>
      <c r="AR3" s="187"/>
      <c r="AS3" s="180"/>
      <c r="AT3" s="180"/>
      <c r="AU3" s="175"/>
      <c r="AV3" s="211"/>
      <c r="AW3" s="213"/>
      <c r="AX3" s="213"/>
    </row>
    <row r="4" spans="1:50">
      <c r="A4" s="32"/>
      <c r="B4" s="34" t="s">
        <v>58</v>
      </c>
      <c r="C4" s="37"/>
      <c r="D4" s="38"/>
      <c r="E4" s="38"/>
      <c r="F4" s="31"/>
      <c r="G4" s="31"/>
      <c r="H4" s="32"/>
      <c r="I4" s="57"/>
      <c r="J4" s="33"/>
      <c r="K4" s="131"/>
      <c r="L4" s="121"/>
      <c r="M4" s="131"/>
      <c r="N4" s="62"/>
      <c r="O4" s="62"/>
      <c r="P4" s="122"/>
      <c r="Q4" s="122"/>
      <c r="R4" s="35"/>
      <c r="S4" s="38"/>
      <c r="T4" s="79">
        <v>1</v>
      </c>
      <c r="U4" s="79"/>
      <c r="V4" s="31"/>
      <c r="W4" s="31"/>
      <c r="X4" s="32"/>
      <c r="Y4" s="135"/>
      <c r="Z4" s="32"/>
      <c r="AA4" s="93">
        <v>1</v>
      </c>
      <c r="AB4" s="93">
        <f>C4+D4+E4+K4+L4+M4+S4+T4+U4</f>
        <v>1</v>
      </c>
      <c r="AC4" s="49"/>
      <c r="AD4" s="98"/>
      <c r="AE4" s="32"/>
      <c r="AF4" s="98"/>
      <c r="AG4" s="32"/>
      <c r="AH4" s="98"/>
      <c r="AI4" s="32"/>
      <c r="AJ4" s="98"/>
      <c r="AK4" s="35"/>
      <c r="AL4" s="32"/>
      <c r="AM4" s="35"/>
      <c r="AN4" s="58"/>
      <c r="AO4" s="59"/>
      <c r="AP4" s="58"/>
      <c r="AQ4" s="60"/>
      <c r="AR4" s="61"/>
      <c r="AS4" s="32"/>
      <c r="AT4" s="32"/>
      <c r="AU4" s="36"/>
      <c r="AV4" s="212"/>
      <c r="AW4" s="213"/>
      <c r="AX4" s="213"/>
    </row>
    <row r="5" spans="1:50" ht="15" customHeight="1">
      <c r="A5" s="169" t="s">
        <v>41</v>
      </c>
      <c r="B5" s="8" t="s">
        <v>42</v>
      </c>
      <c r="C5" s="39"/>
      <c r="D5" s="40"/>
      <c r="E5" s="40"/>
      <c r="F5" s="40"/>
      <c r="G5" s="40"/>
      <c r="H5" s="40"/>
      <c r="I5" s="132">
        <v>4185597</v>
      </c>
      <c r="J5" s="129"/>
      <c r="K5" s="124"/>
      <c r="L5" s="124">
        <v>2</v>
      </c>
      <c r="M5" s="124"/>
      <c r="N5" s="124">
        <v>2</v>
      </c>
      <c r="O5" s="124">
        <v>1</v>
      </c>
      <c r="P5" s="40"/>
      <c r="Q5" s="82">
        <v>255260</v>
      </c>
      <c r="R5" s="125"/>
      <c r="S5" s="40"/>
      <c r="T5" s="40"/>
      <c r="U5" s="40"/>
      <c r="V5" s="40"/>
      <c r="W5" s="40"/>
      <c r="X5" s="40">
        <v>2</v>
      </c>
      <c r="Y5" s="82">
        <v>617768</v>
      </c>
      <c r="Z5" s="40">
        <v>3</v>
      </c>
      <c r="AA5" s="89">
        <v>2</v>
      </c>
      <c r="AB5" s="94">
        <f>C5+D5+E5+K5+L5+M5+S5+T5+U5</f>
        <v>2</v>
      </c>
      <c r="AC5" s="22">
        <v>145881176</v>
      </c>
      <c r="AD5" s="89">
        <f>IF(AB5&lt;7,3,AB5)</f>
        <v>3</v>
      </c>
      <c r="AE5" s="18">
        <f t="shared" ref="AE5:AE23" si="0">F5+N5+V5</f>
        <v>2</v>
      </c>
      <c r="AF5" s="89">
        <v>1</v>
      </c>
      <c r="AG5" s="18">
        <f t="shared" ref="AG5:AG24" si="1">G5+O5+W5</f>
        <v>1</v>
      </c>
      <c r="AH5" s="89">
        <f>AB5</f>
        <v>2</v>
      </c>
      <c r="AI5" s="18">
        <f>H5+P5+X5</f>
        <v>2</v>
      </c>
      <c r="AJ5" s="99">
        <f>AC5*0.08</f>
        <v>11670494.08</v>
      </c>
      <c r="AK5" s="102">
        <f>I5+Q5+Y5</f>
        <v>5058625</v>
      </c>
      <c r="AL5" s="18">
        <f>AB5</f>
        <v>2</v>
      </c>
      <c r="AM5" s="94">
        <f>J5+R5+Z5</f>
        <v>3</v>
      </c>
      <c r="AN5" s="26">
        <f>IFERROR(IF(AA5=0,50%,MIN((AB5/AA5)*0.5,50%)),0)</f>
        <v>0.5</v>
      </c>
      <c r="AO5" s="29">
        <f>IFERROR(
   IF(AND(AG5&lt;1,AE5&gt;=AD5),
      0.174,
      MIN(((AG5+AE5)/AD5)*0.2,20%)
   ),
   0
)</f>
        <v>0.2</v>
      </c>
      <c r="AP5" s="29">
        <f>IFERROR(IF(AH5=0,10%,MIN((AI5/AH5)*0.1,10%)),0)</f>
        <v>0.1</v>
      </c>
      <c r="AQ5" s="29">
        <f>IFERROR(IF(AND(AB5=0,AK5&gt;0),10%,MIN((AK5/AJ5)*0.1,10%)),0)</f>
        <v>4.3345422784362528E-2</v>
      </c>
      <c r="AR5" s="45">
        <f>IFERROR(IF(AL5=0,10%,MIN((AM5/AL5)*0.1,10%)),0)</f>
        <v>0.1</v>
      </c>
      <c r="AS5" s="29">
        <f>IFERROR(AN5+AO5+AP5+AQ5+AR5,0)</f>
        <v>0.9433454227843624</v>
      </c>
      <c r="AT5" s="18" t="str" cm="1">
        <f t="array" ref="AT5">_xlfn.IFS(AS5&lt;60%,"C",AS5&gt;=60%,"B",AS5&gt;=80,"A")</f>
        <v>B</v>
      </c>
      <c r="AU5" s="26" cm="1">
        <f t="array" ref="AU5">_xlfn.IFS(AS5&gt;=80%,0.05,AS5&gt;=60%,0.03,AS5&lt;60%,0)</f>
        <v>0.05</v>
      </c>
      <c r="AV5" s="172">
        <f>AVERAGE(AS5:AS14)</f>
        <v>0.86340120894510286</v>
      </c>
      <c r="AW5" s="158">
        <f>10000*AV5</f>
        <v>8634.0120894510292</v>
      </c>
      <c r="AX5" s="158">
        <f>AW5*216</f>
        <v>1864946.6113214223</v>
      </c>
    </row>
    <row r="6" spans="1:50" ht="17.25" customHeight="1">
      <c r="A6" s="170"/>
      <c r="B6" s="9" t="s">
        <v>43</v>
      </c>
      <c r="C6" s="39"/>
      <c r="D6" s="40"/>
      <c r="E6" s="40"/>
      <c r="F6" s="40"/>
      <c r="G6" s="40"/>
      <c r="H6" s="40"/>
      <c r="I6" s="82"/>
      <c r="J6" s="129"/>
      <c r="K6" s="124"/>
      <c r="L6" s="124"/>
      <c r="M6" s="124"/>
      <c r="N6" s="124"/>
      <c r="O6" s="124"/>
      <c r="P6" s="40"/>
      <c r="Q6" s="82">
        <v>891919</v>
      </c>
      <c r="R6" s="125"/>
      <c r="S6" s="40"/>
      <c r="T6" s="40"/>
      <c r="U6" s="40"/>
      <c r="V6" s="40"/>
      <c r="W6" s="40"/>
      <c r="X6" s="40"/>
      <c r="Y6" s="82"/>
      <c r="Z6" s="40"/>
      <c r="AA6" s="89">
        <v>0</v>
      </c>
      <c r="AB6" s="94">
        <f t="shared" ref="AB6:AB10" si="2">C6+D6+E6+K6+L6+M6+S6+T6+U6</f>
        <v>0</v>
      </c>
      <c r="AC6" s="22"/>
      <c r="AD6" s="89">
        <f>IF(AB6&lt;7,3,AB6)</f>
        <v>3</v>
      </c>
      <c r="AE6" s="18">
        <f t="shared" si="0"/>
        <v>0</v>
      </c>
      <c r="AF6" s="89">
        <v>1</v>
      </c>
      <c r="AG6" s="18">
        <f t="shared" si="1"/>
        <v>0</v>
      </c>
      <c r="AH6" s="89">
        <f>AB6</f>
        <v>0</v>
      </c>
      <c r="AI6" s="18">
        <f t="shared" ref="AI6:AI24" si="3">H6+P6+X6</f>
        <v>0</v>
      </c>
      <c r="AJ6" s="99">
        <f>AC6*0.08</f>
        <v>0</v>
      </c>
      <c r="AK6" s="102">
        <f t="shared" ref="AK6:AK14" si="4">I6+Q6+Y6</f>
        <v>891919</v>
      </c>
      <c r="AL6" s="18">
        <f t="shared" ref="AL6:AL24" si="5">AB6</f>
        <v>0</v>
      </c>
      <c r="AM6" s="94">
        <f>J6+R6+Z6</f>
        <v>0</v>
      </c>
      <c r="AN6" s="26">
        <f t="shared" ref="AN6:AN14" si="6">IFERROR(IF(AA6=0,50%,MIN((AB6/AA6)*0.5,50%)),0)</f>
        <v>0.5</v>
      </c>
      <c r="AO6" s="29">
        <f>IFERROR(
   IF(AND(AG6&lt;1,AE6&gt;=AD6),
      0.174,
      MIN(((AG6+AE6)/AD6)*0.2,20%)
   ),
   0
)</f>
        <v>0</v>
      </c>
      <c r="AP6" s="29">
        <f t="shared" ref="AP6:AP14" si="7">IFERROR(IF(AH6=0,10%,MIN((AI6/AH6)*0.1,10%)),0)</f>
        <v>0.1</v>
      </c>
      <c r="AQ6" s="29">
        <f>IFERROR(IF(AND(AB6=0,AK6&gt;0),10%,MIN((AK6/AJ6)*0.1,10%)),0)</f>
        <v>0.1</v>
      </c>
      <c r="AR6" s="45">
        <f t="shared" ref="AR6:AR14" si="8">IFERROR(IF(AL6=0,10%,MIN((AM6/AL6)*0.1,10%)),0)</f>
        <v>0.1</v>
      </c>
      <c r="AS6" s="29">
        <f>IFERROR(AN6+AO6+AP6+AQ6+AR6,0)</f>
        <v>0.79999999999999993</v>
      </c>
      <c r="AT6" s="18" t="str" cm="1">
        <f t="array" ref="AT6">_xlfn.IFS(AS6&lt;60%,"C",AS6&gt;=60%,"B",AS6&gt;=80,"A")</f>
        <v>B</v>
      </c>
      <c r="AU6" s="26" cm="1">
        <f t="array" ref="AU6">_xlfn.IFS(AS6&gt;=80%,0.05,AS6&gt;=60%,0.03,AS6&lt;60%,0)</f>
        <v>0.05</v>
      </c>
      <c r="AV6" s="173"/>
      <c r="AW6" s="159"/>
      <c r="AX6" s="159"/>
    </row>
    <row r="7" spans="1:50">
      <c r="A7" s="170"/>
      <c r="B7" s="8" t="s">
        <v>44</v>
      </c>
      <c r="C7" s="39"/>
      <c r="D7" s="40"/>
      <c r="E7" s="40"/>
      <c r="F7" s="40"/>
      <c r="G7" s="40"/>
      <c r="H7" s="40"/>
      <c r="I7" s="82">
        <v>1211131</v>
      </c>
      <c r="J7" s="129"/>
      <c r="K7" s="124"/>
      <c r="L7" s="124"/>
      <c r="M7" s="124"/>
      <c r="N7" s="124"/>
      <c r="O7" s="124">
        <v>1</v>
      </c>
      <c r="P7" s="40"/>
      <c r="Q7" s="82">
        <v>278028</v>
      </c>
      <c r="R7" s="125"/>
      <c r="S7" s="40"/>
      <c r="T7" s="40"/>
      <c r="U7" s="40"/>
      <c r="V7" s="40"/>
      <c r="W7" s="40"/>
      <c r="X7" s="40"/>
      <c r="Y7" s="82">
        <v>4456609</v>
      </c>
      <c r="Z7" s="40"/>
      <c r="AA7" s="89">
        <v>0</v>
      </c>
      <c r="AB7" s="94">
        <f t="shared" si="2"/>
        <v>0</v>
      </c>
      <c r="AC7" s="52"/>
      <c r="AD7" s="89">
        <f>IF(AB7&lt;7,3,AB7)</f>
        <v>3</v>
      </c>
      <c r="AE7" s="18">
        <f t="shared" si="0"/>
        <v>0</v>
      </c>
      <c r="AF7" s="89">
        <v>1</v>
      </c>
      <c r="AG7" s="18">
        <f t="shared" si="1"/>
        <v>1</v>
      </c>
      <c r="AH7" s="89">
        <f t="shared" ref="AH7:AH22" si="9">AB7</f>
        <v>0</v>
      </c>
      <c r="AI7" s="18">
        <f t="shared" si="3"/>
        <v>0</v>
      </c>
      <c r="AJ7" s="99">
        <f t="shared" ref="AJ7:AJ10" si="10">AC7*0.08</f>
        <v>0</v>
      </c>
      <c r="AK7" s="102">
        <f t="shared" si="4"/>
        <v>5945768</v>
      </c>
      <c r="AL7" s="18">
        <f t="shared" si="5"/>
        <v>0</v>
      </c>
      <c r="AM7" s="94">
        <f t="shared" ref="AM7:AM17" si="11">J7+R7+Z7</f>
        <v>0</v>
      </c>
      <c r="AN7" s="26">
        <f t="shared" si="6"/>
        <v>0.5</v>
      </c>
      <c r="AO7" s="29">
        <f>IFERROR(
   IF(AND(AG7&lt;1,AE7&gt;=AD7),
      0.174,
      MIN(((AG7+AE7)/AD7)*0.2,20%)
   ),
   0
)</f>
        <v>6.6666666666666666E-2</v>
      </c>
      <c r="AP7" s="29">
        <f t="shared" si="7"/>
        <v>0.1</v>
      </c>
      <c r="AQ7" s="29">
        <f>IFERROR(IF(AND(AB7=0,AK7&gt;0),10%,MIN((AK7/AJ7)*0.1,10%)),0)</f>
        <v>0.1</v>
      </c>
      <c r="AR7" s="45">
        <f t="shared" si="8"/>
        <v>0.1</v>
      </c>
      <c r="AS7" s="29">
        <f>IFERROR(AN7+AO7+AP7+AQ7+AR7,0)</f>
        <v>0.86666666666666659</v>
      </c>
      <c r="AT7" s="18" t="str" cm="1">
        <f t="array" ref="AT7">_xlfn.IFS(AS7&lt;60%,"C",AS7&gt;=60%,"B",AS7&gt;=80,"A")</f>
        <v>B</v>
      </c>
      <c r="AU7" s="26" cm="1">
        <f t="array" ref="AU7">_xlfn.IFS(AS7&gt;=80%,0.05,AS7&gt;=60%,0.03,AS7&lt;60%,0)</f>
        <v>0.05</v>
      </c>
      <c r="AV7" s="173"/>
      <c r="AW7" s="159"/>
      <c r="AX7" s="159"/>
    </row>
    <row r="8" spans="1:50">
      <c r="A8" s="170"/>
      <c r="B8" s="8" t="s">
        <v>45</v>
      </c>
      <c r="C8" s="39"/>
      <c r="D8" s="40"/>
      <c r="E8" s="40"/>
      <c r="F8" s="40"/>
      <c r="G8" s="40"/>
      <c r="H8" s="40"/>
      <c r="I8" s="82">
        <v>900802</v>
      </c>
      <c r="J8" s="129"/>
      <c r="K8" s="124"/>
      <c r="L8" s="124"/>
      <c r="M8" s="124"/>
      <c r="N8" s="124"/>
      <c r="O8" s="124"/>
      <c r="P8" s="40"/>
      <c r="Q8" s="82">
        <v>5531269</v>
      </c>
      <c r="R8" s="125"/>
      <c r="S8" s="40"/>
      <c r="T8" s="40"/>
      <c r="U8" s="40"/>
      <c r="V8" s="40">
        <v>2</v>
      </c>
      <c r="W8" s="40">
        <v>3</v>
      </c>
      <c r="X8" s="40"/>
      <c r="Y8" s="82">
        <f>13345768+3482684</f>
        <v>16828452</v>
      </c>
      <c r="Z8" s="40"/>
      <c r="AA8" s="89">
        <v>0</v>
      </c>
      <c r="AB8" s="94">
        <f t="shared" si="2"/>
        <v>0</v>
      </c>
      <c r="AC8" s="65"/>
      <c r="AD8" s="89">
        <f>IF(AB8&lt;7,3,AB8)</f>
        <v>3</v>
      </c>
      <c r="AE8" s="18">
        <f t="shared" si="0"/>
        <v>2</v>
      </c>
      <c r="AF8" s="89">
        <v>1</v>
      </c>
      <c r="AG8" s="18">
        <f t="shared" si="1"/>
        <v>3</v>
      </c>
      <c r="AH8" s="89">
        <f t="shared" si="9"/>
        <v>0</v>
      </c>
      <c r="AI8" s="18">
        <f t="shared" si="3"/>
        <v>0</v>
      </c>
      <c r="AJ8" s="99">
        <f t="shared" si="10"/>
        <v>0</v>
      </c>
      <c r="AK8" s="102">
        <f t="shared" si="4"/>
        <v>23260523</v>
      </c>
      <c r="AL8" s="18">
        <f t="shared" si="5"/>
        <v>0</v>
      </c>
      <c r="AM8" s="94">
        <f t="shared" si="11"/>
        <v>0</v>
      </c>
      <c r="AN8" s="26">
        <f t="shared" si="6"/>
        <v>0.5</v>
      </c>
      <c r="AO8" s="29">
        <f>IFERROR(
   IF(AND(AG8&lt;1,AE8&gt;=AD8),
      0.174,
      MIN(((AG8+AE8)/AD8)*0.2,20%)
   ),
   0
)</f>
        <v>0.2</v>
      </c>
      <c r="AP8" s="29">
        <f t="shared" si="7"/>
        <v>0.1</v>
      </c>
      <c r="AQ8" s="29">
        <f>IFERROR(IF(AND(AB8=0,AK8&gt;0),10%,MIN((AK8/AJ8)*0.1,10%)),0)</f>
        <v>0.1</v>
      </c>
      <c r="AR8" s="45">
        <f t="shared" si="8"/>
        <v>0.1</v>
      </c>
      <c r="AS8" s="29">
        <f>IFERROR(AN8+AO8+AP8+AQ8+AR8,0)</f>
        <v>0.99999999999999989</v>
      </c>
      <c r="AT8" s="18" t="str" cm="1">
        <f t="array" ref="AT8">_xlfn.IFS(AS8&lt;60%,"C",AS8&gt;=60%,"B",AS8&gt;=80,"A")</f>
        <v>B</v>
      </c>
      <c r="AU8" s="26" cm="1">
        <f t="array" ref="AU8">_xlfn.IFS(AS8&gt;=80%,0.05,AS8&gt;=60%,0.03,AS8&lt;60%,0)</f>
        <v>0.05</v>
      </c>
      <c r="AV8" s="173"/>
      <c r="AW8" s="159"/>
      <c r="AX8" s="159"/>
    </row>
    <row r="9" spans="1:50">
      <c r="A9" s="170"/>
      <c r="B9" s="8" t="s">
        <v>46</v>
      </c>
      <c r="C9" s="39"/>
      <c r="D9" s="40"/>
      <c r="E9" s="40"/>
      <c r="F9" s="63"/>
      <c r="G9" s="40"/>
      <c r="H9" s="40"/>
      <c r="I9" s="82">
        <v>8648927</v>
      </c>
      <c r="J9" s="129"/>
      <c r="K9" s="124"/>
      <c r="L9" s="124"/>
      <c r="M9" s="124"/>
      <c r="N9" s="124"/>
      <c r="O9" s="124"/>
      <c r="P9" s="40"/>
      <c r="Q9" s="82">
        <v>3526033</v>
      </c>
      <c r="R9" s="125"/>
      <c r="S9" s="40"/>
      <c r="T9" s="40"/>
      <c r="U9" s="40">
        <v>2</v>
      </c>
      <c r="V9" s="40"/>
      <c r="W9" s="40">
        <v>1</v>
      </c>
      <c r="X9" s="40">
        <v>1</v>
      </c>
      <c r="Y9" s="82">
        <f>9253427+3458562</f>
        <v>12711989</v>
      </c>
      <c r="Z9" s="40">
        <v>2</v>
      </c>
      <c r="AA9" s="89">
        <v>2</v>
      </c>
      <c r="AB9" s="94">
        <f t="shared" si="2"/>
        <v>2</v>
      </c>
      <c r="AC9" s="108">
        <v>83969394</v>
      </c>
      <c r="AD9" s="89">
        <f>IF(AB9&lt;7,3,AB9)</f>
        <v>3</v>
      </c>
      <c r="AE9" s="18">
        <f t="shared" si="0"/>
        <v>0</v>
      </c>
      <c r="AF9" s="89">
        <v>1</v>
      </c>
      <c r="AG9" s="18">
        <f t="shared" si="1"/>
        <v>1</v>
      </c>
      <c r="AH9" s="89">
        <f t="shared" si="9"/>
        <v>2</v>
      </c>
      <c r="AI9" s="18">
        <f t="shared" si="3"/>
        <v>1</v>
      </c>
      <c r="AJ9" s="99">
        <f t="shared" si="10"/>
        <v>6717551.5200000005</v>
      </c>
      <c r="AK9" s="102">
        <f t="shared" si="4"/>
        <v>24886949</v>
      </c>
      <c r="AL9" s="18">
        <f t="shared" si="5"/>
        <v>2</v>
      </c>
      <c r="AM9" s="94">
        <f t="shared" si="11"/>
        <v>2</v>
      </c>
      <c r="AN9" s="26">
        <f t="shared" si="6"/>
        <v>0.5</v>
      </c>
      <c r="AO9" s="29">
        <f>IFERROR(
   IF(AND(AG9&lt;1,AE9&gt;=AD9),
      0.174,
      MIN(((AG9+AE9)/AD9)*0.2,20%)
   ),
   0
)</f>
        <v>6.6666666666666666E-2</v>
      </c>
      <c r="AP9" s="29">
        <f t="shared" si="7"/>
        <v>0.05</v>
      </c>
      <c r="AQ9" s="29">
        <f>IFERROR(IF(AND(AB9=0,AK9&gt;0),10%,MIN((AK9/AJ9)*0.1,10%)),0)</f>
        <v>0.1</v>
      </c>
      <c r="AR9" s="45">
        <f t="shared" si="8"/>
        <v>0.1</v>
      </c>
      <c r="AS9" s="29">
        <f>IFERROR(AN9+AO9+AP9+AQ9+AR9,0)</f>
        <v>0.81666666666666665</v>
      </c>
      <c r="AT9" s="18" t="str" cm="1">
        <f t="array" ref="AT9">_xlfn.IFS(AS9&lt;60%,"C",AS9&gt;=60%,"B",AS9&gt;=80,"A")</f>
        <v>B</v>
      </c>
      <c r="AU9" s="26" cm="1">
        <f t="array" ref="AU9">_xlfn.IFS(AS9&gt;=80%,0.05,AS9&gt;=60%,0.03,AS9&lt;60%,0)</f>
        <v>0.05</v>
      </c>
      <c r="AV9" s="173"/>
      <c r="AW9" s="159"/>
      <c r="AX9" s="159"/>
    </row>
    <row r="10" spans="1:50">
      <c r="A10" s="170"/>
      <c r="B10" s="8" t="s">
        <v>59</v>
      </c>
      <c r="C10" s="39"/>
      <c r="D10" s="40"/>
      <c r="E10" s="40"/>
      <c r="F10" s="40"/>
      <c r="G10" s="40"/>
      <c r="H10" s="40"/>
      <c r="I10" s="82">
        <v>18231554</v>
      </c>
      <c r="J10" s="129"/>
      <c r="K10" s="124"/>
      <c r="L10" s="124">
        <v>3</v>
      </c>
      <c r="M10" s="124"/>
      <c r="N10" s="124"/>
      <c r="O10" s="124"/>
      <c r="P10" s="40"/>
      <c r="Q10" s="82">
        <v>32620126</v>
      </c>
      <c r="R10" s="125"/>
      <c r="S10" s="40"/>
      <c r="T10" s="40"/>
      <c r="U10" s="40"/>
      <c r="V10" s="40">
        <v>2</v>
      </c>
      <c r="W10" s="40">
        <v>1</v>
      </c>
      <c r="X10" s="40">
        <v>4</v>
      </c>
      <c r="Y10" s="82">
        <f>20724980+5600340</f>
        <v>26325320</v>
      </c>
      <c r="Z10" s="120">
        <v>3</v>
      </c>
      <c r="AA10" s="89">
        <v>3</v>
      </c>
      <c r="AB10" s="94">
        <f t="shared" si="2"/>
        <v>3</v>
      </c>
      <c r="AC10" s="22">
        <v>175103394</v>
      </c>
      <c r="AD10" s="89">
        <f>IF(AB10&lt;7,3,AB10)</f>
        <v>3</v>
      </c>
      <c r="AE10" s="18">
        <f t="shared" si="0"/>
        <v>2</v>
      </c>
      <c r="AF10" s="89">
        <v>1</v>
      </c>
      <c r="AG10" s="18">
        <f t="shared" si="1"/>
        <v>1</v>
      </c>
      <c r="AH10" s="89">
        <f t="shared" si="9"/>
        <v>3</v>
      </c>
      <c r="AI10" s="18">
        <f t="shared" si="3"/>
        <v>4</v>
      </c>
      <c r="AJ10" s="99">
        <f t="shared" si="10"/>
        <v>14008271.52</v>
      </c>
      <c r="AK10" s="102">
        <f t="shared" si="4"/>
        <v>77177000</v>
      </c>
      <c r="AL10" s="25">
        <f t="shared" si="5"/>
        <v>3</v>
      </c>
      <c r="AM10" s="94">
        <f t="shared" si="11"/>
        <v>3</v>
      </c>
      <c r="AN10" s="26">
        <f t="shared" si="6"/>
        <v>0.5</v>
      </c>
      <c r="AO10" s="29">
        <f>IFERROR(
   IF(AND(AG10&lt;1,AE10&gt;=AD10),
      0.174,
      MIN(((AG10+AE10)/AD10)*0.2,20%)
   ),
   0
)</f>
        <v>0.2</v>
      </c>
      <c r="AP10" s="29">
        <f t="shared" si="7"/>
        <v>0.1</v>
      </c>
      <c r="AQ10" s="29">
        <f>IFERROR(IF(AND(AB10=0,AK10&gt;0),10%,MIN((AK10/AJ10)*0.1,10%)),0)</f>
        <v>0.1</v>
      </c>
      <c r="AR10" s="45">
        <f t="shared" si="8"/>
        <v>0.1</v>
      </c>
      <c r="AS10" s="29">
        <f>IFERROR(AN10+AO10+AP10+AQ10+AR10,0)</f>
        <v>0.99999999999999989</v>
      </c>
      <c r="AT10" s="18" t="str" cm="1">
        <f t="array" ref="AT10">_xlfn.IFS(AS10&lt;60%,"C",AS10&gt;=60%,"B",AS10&gt;=80,"A")</f>
        <v>B</v>
      </c>
      <c r="AU10" s="26" cm="1">
        <f t="array" ref="AU10">_xlfn.IFS(AS10&gt;=80%,0.05,AS10&gt;=60%,0.03,AS10&lt;60%,0)</f>
        <v>0.05</v>
      </c>
      <c r="AV10" s="173"/>
      <c r="AW10" s="159"/>
      <c r="AX10" s="159"/>
    </row>
    <row r="11" spans="1:50">
      <c r="A11" s="170"/>
      <c r="B11" s="8" t="s">
        <v>67</v>
      </c>
      <c r="C11" s="40">
        <v>1</v>
      </c>
      <c r="D11" s="40"/>
      <c r="E11" s="40"/>
      <c r="F11" s="40">
        <v>2</v>
      </c>
      <c r="G11" s="40"/>
      <c r="H11" s="40"/>
      <c r="I11" s="82">
        <v>9819623</v>
      </c>
      <c r="J11" s="40"/>
      <c r="K11" s="123"/>
      <c r="L11" s="124"/>
      <c r="M11" s="124"/>
      <c r="N11" s="124">
        <v>2</v>
      </c>
      <c r="O11" s="124"/>
      <c r="P11" s="40"/>
      <c r="Q11" s="82">
        <v>32030941</v>
      </c>
      <c r="R11" s="124"/>
      <c r="S11" s="39"/>
      <c r="T11" s="40"/>
      <c r="U11" s="40"/>
      <c r="V11" s="40">
        <v>1</v>
      </c>
      <c r="W11" s="40"/>
      <c r="X11" s="40"/>
      <c r="Y11" s="82">
        <f>32416631+747899</f>
        <v>33164530</v>
      </c>
      <c r="Z11" s="40">
        <v>1</v>
      </c>
      <c r="AA11" s="89">
        <v>1</v>
      </c>
      <c r="AB11" s="94">
        <f>C11+D11+E11+K11+L11+M11+S11+T11+U11</f>
        <v>1</v>
      </c>
      <c r="AC11" s="22">
        <v>37893168</v>
      </c>
      <c r="AD11" s="89">
        <f>IF(AB11&lt;7,3,AB11)</f>
        <v>3</v>
      </c>
      <c r="AE11" s="18">
        <f>F11+N11+V11</f>
        <v>5</v>
      </c>
      <c r="AF11" s="89">
        <v>1</v>
      </c>
      <c r="AG11" s="18">
        <f>G11+O11+W11</f>
        <v>0</v>
      </c>
      <c r="AH11" s="89">
        <f>AB11</f>
        <v>1</v>
      </c>
      <c r="AI11" s="18">
        <f>H11+P11+X11</f>
        <v>0</v>
      </c>
      <c r="AJ11" s="99">
        <f>AC11*0.08</f>
        <v>3031453.44</v>
      </c>
      <c r="AK11" s="102">
        <f t="shared" si="4"/>
        <v>75015094</v>
      </c>
      <c r="AL11" s="18">
        <f>AB11</f>
        <v>1</v>
      </c>
      <c r="AM11" s="18">
        <f>J11+R11+Z11</f>
        <v>1</v>
      </c>
      <c r="AN11" s="116">
        <f t="shared" si="6"/>
        <v>0.5</v>
      </c>
      <c r="AO11" s="29">
        <f>IFERROR(
   IF(AND(AG11&lt;1,AE11&gt;=AD11),
      0.174,
      MIN(((AG11+AE11)/AD11)*0.2,20%)
   ),
   0
)</f>
        <v>0.17399999999999999</v>
      </c>
      <c r="AP11" s="29">
        <f t="shared" si="7"/>
        <v>0</v>
      </c>
      <c r="AQ11" s="29">
        <f>IFERROR(IF(AND(AB11=0,AK11&gt;0),10%,MIN((AK11/AJ11)*0.1,10%)),0)</f>
        <v>0.1</v>
      </c>
      <c r="AR11" s="45">
        <f t="shared" si="8"/>
        <v>0.1</v>
      </c>
      <c r="AS11" s="29">
        <f>IFERROR(AN11+AO11+AP11+AQ11+AR11,0)</f>
        <v>0.87399999999999989</v>
      </c>
      <c r="AT11" s="18" t="str" cm="1">
        <f t="array" ref="AT11">_xlfn.IFS(AS11&lt;60%,"C",AS11&gt;=60%,"B",AS11&gt;=80,"A")</f>
        <v>B</v>
      </c>
      <c r="AU11" s="26" cm="1">
        <f t="array" ref="AU11">_xlfn.IFS(AS11&gt;=80%,0.05,AS11&gt;=60%,0.03,AS11&lt;60%,0)</f>
        <v>0.05</v>
      </c>
      <c r="AV11" s="173"/>
      <c r="AW11" s="159"/>
      <c r="AX11" s="159"/>
    </row>
    <row r="12" spans="1:50">
      <c r="A12" s="170"/>
      <c r="B12" s="8" t="s">
        <v>52</v>
      </c>
      <c r="C12" s="40"/>
      <c r="D12" s="40"/>
      <c r="E12" s="40"/>
      <c r="F12" s="40"/>
      <c r="G12" s="40"/>
      <c r="H12" s="40"/>
      <c r="I12" s="82">
        <v>12074372</v>
      </c>
      <c r="J12" s="40"/>
      <c r="K12" s="123"/>
      <c r="L12" s="124"/>
      <c r="M12" s="124"/>
      <c r="N12" s="124"/>
      <c r="O12" s="124"/>
      <c r="P12" s="40"/>
      <c r="Q12" s="82">
        <v>753314</v>
      </c>
      <c r="R12" s="124"/>
      <c r="S12" s="39"/>
      <c r="T12" s="40"/>
      <c r="U12" s="40"/>
      <c r="V12" s="40"/>
      <c r="W12" s="40"/>
      <c r="X12" s="40"/>
      <c r="Y12" s="82">
        <f>180620+2835576</f>
        <v>3016196</v>
      </c>
      <c r="Z12" s="40"/>
      <c r="AA12" s="89">
        <v>0</v>
      </c>
      <c r="AB12" s="94">
        <f>C12+D12+E12+K12+L12+M12+S12+T12+U12</f>
        <v>0</v>
      </c>
      <c r="AC12" s="22"/>
      <c r="AD12" s="89">
        <f>IF(AB12&lt;7,3,AB12)</f>
        <v>3</v>
      </c>
      <c r="AE12" s="18">
        <f>F12+N12+V12</f>
        <v>0</v>
      </c>
      <c r="AF12" s="89">
        <v>1</v>
      </c>
      <c r="AG12" s="18">
        <f>G12+O12+W12</f>
        <v>0</v>
      </c>
      <c r="AH12" s="89">
        <f>AB12</f>
        <v>0</v>
      </c>
      <c r="AI12" s="18">
        <f>H12+P12+X12</f>
        <v>0</v>
      </c>
      <c r="AJ12" s="115">
        <f>AC12*0.08</f>
        <v>0</v>
      </c>
      <c r="AK12" s="102">
        <f t="shared" si="4"/>
        <v>15843882</v>
      </c>
      <c r="AL12" s="18">
        <f>AB12</f>
        <v>0</v>
      </c>
      <c r="AM12" s="18">
        <f>J12+R12+Z12</f>
        <v>0</v>
      </c>
      <c r="AN12" s="116">
        <f t="shared" si="6"/>
        <v>0.5</v>
      </c>
      <c r="AO12" s="29">
        <f>IFERROR(
   IF(AND(AG12&lt;1,AE12&gt;=AD12),
      0.174,
      MIN(((AG12+AE12)/AD12)*0.2,20%)
   ),
   0
)</f>
        <v>0</v>
      </c>
      <c r="AP12" s="29">
        <f t="shared" si="7"/>
        <v>0.1</v>
      </c>
      <c r="AQ12" s="29">
        <f>IFERROR(IF(AND(AB12=0,AK12&gt;0),10%,MIN((AK12/AJ12)*0.1,10%)),0)</f>
        <v>0.1</v>
      </c>
      <c r="AR12" s="45">
        <f t="shared" si="8"/>
        <v>0.1</v>
      </c>
      <c r="AS12" s="29">
        <f>IFERROR(AN12+AO12+AP12+AQ12+AR12,0)</f>
        <v>0.79999999999999993</v>
      </c>
      <c r="AT12" s="18" t="str" cm="1">
        <f t="array" ref="AT12">_xlfn.IFS(AS12&lt;60%,"C",AS12&gt;=60%,"B",AS12&gt;=80,"A")</f>
        <v>B</v>
      </c>
      <c r="AU12" s="26" cm="1">
        <f t="array" ref="AU12">_xlfn.IFS(AS12&gt;=80%,0.05,AS12&gt;=60%,0.03,AS12&lt;60%,0)</f>
        <v>0.05</v>
      </c>
      <c r="AV12" s="173"/>
      <c r="AW12" s="159"/>
      <c r="AX12" s="159"/>
    </row>
    <row r="13" spans="1:50">
      <c r="A13" s="170"/>
      <c r="B13" s="8" t="s">
        <v>72</v>
      </c>
      <c r="C13" s="39">
        <v>1</v>
      </c>
      <c r="D13" s="40"/>
      <c r="E13" s="40"/>
      <c r="F13" s="40"/>
      <c r="G13" s="40"/>
      <c r="H13" s="40"/>
      <c r="I13" s="82">
        <v>20466436</v>
      </c>
      <c r="J13" s="129"/>
      <c r="K13" s="124"/>
      <c r="L13" s="124">
        <v>1</v>
      </c>
      <c r="M13" s="124"/>
      <c r="N13" s="124"/>
      <c r="O13" s="124"/>
      <c r="P13" s="40"/>
      <c r="Q13" s="82">
        <v>3190305</v>
      </c>
      <c r="R13" s="124"/>
      <c r="S13" s="39"/>
      <c r="T13" s="40"/>
      <c r="U13" s="40"/>
      <c r="V13" s="40">
        <v>1</v>
      </c>
      <c r="W13" s="40">
        <v>1</v>
      </c>
      <c r="X13" s="40"/>
      <c r="Y13" s="82">
        <f>5584791+412660</f>
        <v>5997451</v>
      </c>
      <c r="Z13" s="40">
        <v>2</v>
      </c>
      <c r="AA13" s="89">
        <v>2</v>
      </c>
      <c r="AB13" s="94">
        <f t="shared" ref="AB13:AB14" si="12">C13+D13+E13+K13+L13+M13+S13+T13+U13</f>
        <v>2</v>
      </c>
      <c r="AC13" s="22">
        <f>49874106+58663210</f>
        <v>108537316</v>
      </c>
      <c r="AD13" s="89">
        <f>IF(AB13&lt;7,3,AB13)</f>
        <v>3</v>
      </c>
      <c r="AE13" s="18">
        <f t="shared" ref="AE13:AE14" si="13">F13+N13+V13</f>
        <v>1</v>
      </c>
      <c r="AF13" s="89">
        <v>1</v>
      </c>
      <c r="AG13" s="18">
        <f t="shared" ref="AG13:AG14" si="14">G13+O13+W13</f>
        <v>1</v>
      </c>
      <c r="AH13" s="89">
        <f t="shared" ref="AH13:AH14" si="15">AB13</f>
        <v>2</v>
      </c>
      <c r="AI13" s="18">
        <f t="shared" ref="AI13:AI14" si="16">H13+P13+X13</f>
        <v>0</v>
      </c>
      <c r="AJ13" s="99">
        <f t="shared" ref="AJ13:AJ14" si="17">AC13*0.08</f>
        <v>8682985.2799999993</v>
      </c>
      <c r="AK13" s="102">
        <f t="shared" si="4"/>
        <v>29654192</v>
      </c>
      <c r="AL13" s="18">
        <f t="shared" ref="AL13:AL14" si="18">AB13</f>
        <v>2</v>
      </c>
      <c r="AM13" s="18">
        <f t="shared" ref="AM13:AM14" si="19">J13+R13+Z13</f>
        <v>2</v>
      </c>
      <c r="AN13" s="116">
        <f t="shared" si="6"/>
        <v>0.5</v>
      </c>
      <c r="AO13" s="29">
        <f t="shared" ref="AO13:AO14" si="20">IFERROR(
   IF(AND(AG13&lt;1,AE13&gt;=AD13),
      0.174,
      MIN(((AG13+AE13)/AD13)*0.2,20%)
   ),
   0
)</f>
        <v>0.13333333333333333</v>
      </c>
      <c r="AP13" s="29">
        <f t="shared" si="7"/>
        <v>0</v>
      </c>
      <c r="AQ13" s="29">
        <f t="shared" ref="AQ13:AQ14" si="21">IFERROR(IF(AND(AB13=0,AK13&gt;0),10%,MIN((AK13/AJ13)*0.1,10%)),0)</f>
        <v>0.1</v>
      </c>
      <c r="AR13" s="45">
        <f t="shared" si="8"/>
        <v>0.1</v>
      </c>
      <c r="AS13" s="29">
        <f t="shared" ref="AS13:AS14" si="22">IFERROR(AN13+AO13+AP13+AQ13+AR13,0)</f>
        <v>0.83333333333333326</v>
      </c>
      <c r="AT13" s="18" t="str" cm="1">
        <f t="array" ref="AT13">_xlfn.IFS(AS13&lt;60%,"C",AS13&gt;=60%,"B",AS13&gt;=80,"A")</f>
        <v>B</v>
      </c>
      <c r="AU13" s="26" cm="1">
        <f t="array" ref="AU13">_xlfn.IFS(AS13&gt;=80%,0.05,AS13&gt;=60%,0.03,AS13&lt;60%,0)</f>
        <v>0.05</v>
      </c>
      <c r="AV13" s="173"/>
      <c r="AW13" s="159"/>
      <c r="AX13" s="159"/>
    </row>
    <row r="14" spans="1:50">
      <c r="A14" s="171"/>
      <c r="B14" s="8" t="s">
        <v>73</v>
      </c>
      <c r="C14" s="39"/>
      <c r="D14" s="40"/>
      <c r="E14" s="40"/>
      <c r="F14" s="40"/>
      <c r="G14" s="40"/>
      <c r="H14" s="40"/>
      <c r="I14" s="82"/>
      <c r="J14" s="129"/>
      <c r="K14" s="124"/>
      <c r="L14" s="124"/>
      <c r="M14" s="124"/>
      <c r="N14" s="124"/>
      <c r="O14" s="124"/>
      <c r="P14" s="40"/>
      <c r="Q14" s="82"/>
      <c r="R14" s="125"/>
      <c r="S14" s="40"/>
      <c r="T14" s="40"/>
      <c r="U14" s="40"/>
      <c r="V14" s="40"/>
      <c r="W14" s="40"/>
      <c r="X14" s="40"/>
      <c r="Y14" s="82"/>
      <c r="Z14" s="40"/>
      <c r="AA14" s="89">
        <v>0</v>
      </c>
      <c r="AB14" s="94">
        <f t="shared" si="12"/>
        <v>0</v>
      </c>
      <c r="AC14" s="53"/>
      <c r="AD14" s="89">
        <f>IF(AB14&lt;7,3,AB14)</f>
        <v>3</v>
      </c>
      <c r="AE14" s="18">
        <f t="shared" si="13"/>
        <v>0</v>
      </c>
      <c r="AF14" s="89">
        <v>1</v>
      </c>
      <c r="AG14" s="18">
        <f t="shared" si="14"/>
        <v>0</v>
      </c>
      <c r="AH14" s="89">
        <f t="shared" si="15"/>
        <v>0</v>
      </c>
      <c r="AI14" s="18">
        <f t="shared" si="16"/>
        <v>0</v>
      </c>
      <c r="AJ14" s="115">
        <f t="shared" si="17"/>
        <v>0</v>
      </c>
      <c r="AK14" s="102">
        <f t="shared" si="4"/>
        <v>0</v>
      </c>
      <c r="AL14" s="18">
        <f t="shared" si="18"/>
        <v>0</v>
      </c>
      <c r="AM14" s="18">
        <f t="shared" si="19"/>
        <v>0</v>
      </c>
      <c r="AN14" s="116">
        <f t="shared" si="6"/>
        <v>0.5</v>
      </c>
      <c r="AO14" s="29">
        <f t="shared" si="20"/>
        <v>0</v>
      </c>
      <c r="AP14" s="29">
        <f>IFERROR(IF(AH14=0,10%,MIN((AI14/AH14)*0.1,10%)),0)</f>
        <v>0.1</v>
      </c>
      <c r="AQ14" s="29">
        <f t="shared" si="21"/>
        <v>0</v>
      </c>
      <c r="AR14" s="45">
        <f>IFERROR(IF(AL14=0,10%,MIN((AM14/AL14)*0.1,10%)),0)</f>
        <v>0.1</v>
      </c>
      <c r="AS14" s="29">
        <f t="shared" si="22"/>
        <v>0.7</v>
      </c>
      <c r="AT14" s="18" t="str" cm="1">
        <f t="array" ref="AT14">_xlfn.IFS(AS14&lt;60%,"C",AS14&gt;=60%,"B",AS14&gt;=80,"A")</f>
        <v>B</v>
      </c>
      <c r="AU14" s="26" cm="1">
        <f t="array" ref="AU14">_xlfn.IFS(AS14&gt;=80%,0.05,AS14&gt;=60%,0.03,AS14&lt;60%,0)</f>
        <v>0.03</v>
      </c>
      <c r="AV14" s="174"/>
      <c r="AW14" s="245"/>
      <c r="AX14" s="245"/>
    </row>
    <row r="15" spans="1:50" ht="15" customHeight="1">
      <c r="A15" s="160" t="s">
        <v>47</v>
      </c>
      <c r="B15" s="10" t="s">
        <v>48</v>
      </c>
      <c r="C15" s="41"/>
      <c r="D15" s="42"/>
      <c r="E15" s="42">
        <v>2</v>
      </c>
      <c r="F15" s="42"/>
      <c r="G15" s="42"/>
      <c r="H15" s="64">
        <v>2</v>
      </c>
      <c r="I15" s="133">
        <v>114211305</v>
      </c>
      <c r="J15" s="130"/>
      <c r="K15" s="127">
        <v>1</v>
      </c>
      <c r="L15" s="127">
        <v>4</v>
      </c>
      <c r="M15" s="127"/>
      <c r="N15" s="127">
        <v>2</v>
      </c>
      <c r="O15" s="127"/>
      <c r="P15" s="42">
        <v>3</v>
      </c>
      <c r="Q15" s="133">
        <v>53148719</v>
      </c>
      <c r="R15" s="128"/>
      <c r="S15" s="42"/>
      <c r="T15" s="42"/>
      <c r="U15" s="42">
        <v>3</v>
      </c>
      <c r="V15" s="42">
        <v>6</v>
      </c>
      <c r="W15" s="42">
        <v>1</v>
      </c>
      <c r="X15" s="42">
        <v>5</v>
      </c>
      <c r="Y15" s="133">
        <v>70066298</v>
      </c>
      <c r="Z15" s="42">
        <v>17</v>
      </c>
      <c r="AA15" s="90">
        <v>10</v>
      </c>
      <c r="AB15" s="95">
        <f t="shared" ref="AB15:AB21" si="23">C15+D15+E15+K15+L15+M15+S15+T15+U15</f>
        <v>10</v>
      </c>
      <c r="AC15" s="117">
        <f>400852171+73646345+40411175+286479828+257215802</f>
        <v>1058605321</v>
      </c>
      <c r="AD15" s="90">
        <f>IF(AB15&lt;7,3,AB15)</f>
        <v>10</v>
      </c>
      <c r="AE15" s="19">
        <f t="shared" si="0"/>
        <v>8</v>
      </c>
      <c r="AF15" s="90">
        <v>1</v>
      </c>
      <c r="AG15" s="19">
        <f t="shared" si="1"/>
        <v>1</v>
      </c>
      <c r="AH15" s="90">
        <f t="shared" si="9"/>
        <v>10</v>
      </c>
      <c r="AI15" s="19">
        <f t="shared" si="3"/>
        <v>10</v>
      </c>
      <c r="AJ15" s="100">
        <f>AC15*0.08</f>
        <v>84688425.680000007</v>
      </c>
      <c r="AK15" s="103">
        <f>I15+Q15+Y15</f>
        <v>237426322</v>
      </c>
      <c r="AL15" s="19">
        <f t="shared" si="5"/>
        <v>10</v>
      </c>
      <c r="AM15" s="95">
        <f t="shared" si="11"/>
        <v>17</v>
      </c>
      <c r="AN15" s="27">
        <f>IFERROR(IF(AA15=0,50%,MIN((AB15/AA15)*0.5,50%)),0)</f>
        <v>0.5</v>
      </c>
      <c r="AO15" s="76">
        <f>IFERROR(
   IF(AND(AG15&lt;1,AE15&gt;=AD15),
      0.174,
      MIN(((AG15+AE15)/AD15)*0.2,20%)
   ),
   0
)</f>
        <v>0.18000000000000002</v>
      </c>
      <c r="AP15" s="76">
        <f>IFERROR(IF(AH15=0,10%,MIN((AI15/AH15)*0.1,10%)),0)</f>
        <v>0.1</v>
      </c>
      <c r="AQ15" s="76">
        <f>IFERROR(IF(AND(AB15=0,AK15&gt;0),10%,MIN((AK15/AJ15)*0.1,10%)),0)</f>
        <v>0.1</v>
      </c>
      <c r="AR15" s="77">
        <f>IFERROR(IF(AL15=0,10%,MIN((AM15/AL15)*0.1,10%)),0)</f>
        <v>0.1</v>
      </c>
      <c r="AS15" s="76">
        <f>IFERROR(AN15+AO15+AP15+AQ15+AR15,0)</f>
        <v>0.98</v>
      </c>
      <c r="AT15" s="19" t="str" cm="1">
        <f t="array" ref="AT15">_xlfn.IFS(AS15&lt;60%,"C",AS15&gt;=60%,"B",AS15&gt;=80,"A")</f>
        <v>B</v>
      </c>
      <c r="AU15" s="27" cm="1">
        <f t="array" ref="AU15">_xlfn.IFS(AS15&gt;=80%,0.05,AS15&gt;=60%,0.03,AS15&lt;60%,0)</f>
        <v>0.05</v>
      </c>
      <c r="AV15" s="163">
        <f>AVERAGE(AS15:AS24)</f>
        <v>0.85281944087206241</v>
      </c>
      <c r="AW15" s="166">
        <f>10000*AV15</f>
        <v>8528.1944087206248</v>
      </c>
      <c r="AX15" s="166">
        <f>AW15*216</f>
        <v>1842089.9922836549</v>
      </c>
    </row>
    <row r="16" spans="1:50" ht="15.75" customHeight="1">
      <c r="A16" s="161"/>
      <c r="B16" s="11" t="s">
        <v>60</v>
      </c>
      <c r="C16" s="41"/>
      <c r="D16" s="42"/>
      <c r="E16" s="42"/>
      <c r="F16" s="42"/>
      <c r="G16" s="42"/>
      <c r="H16" s="42"/>
      <c r="I16" s="133">
        <v>177788</v>
      </c>
      <c r="J16" s="130"/>
      <c r="K16" s="127">
        <v>1</v>
      </c>
      <c r="L16" s="127"/>
      <c r="M16" s="127"/>
      <c r="N16" s="127">
        <v>5</v>
      </c>
      <c r="O16" s="127">
        <v>1</v>
      </c>
      <c r="P16" s="42"/>
      <c r="Q16" s="133"/>
      <c r="R16" s="128"/>
      <c r="S16" s="42"/>
      <c r="T16" s="42"/>
      <c r="U16" s="42"/>
      <c r="V16" s="42"/>
      <c r="W16" s="42"/>
      <c r="X16" s="42"/>
      <c r="Y16" s="134"/>
      <c r="Z16" s="142">
        <v>1</v>
      </c>
      <c r="AA16" s="90">
        <v>1</v>
      </c>
      <c r="AB16" s="95">
        <f t="shared" si="23"/>
        <v>1</v>
      </c>
      <c r="AC16" s="117">
        <v>43532404</v>
      </c>
      <c r="AD16" s="90">
        <f>IF(AB16&lt;7,3,AB16)</f>
        <v>3</v>
      </c>
      <c r="AE16" s="19">
        <f t="shared" si="0"/>
        <v>5</v>
      </c>
      <c r="AF16" s="90">
        <v>1</v>
      </c>
      <c r="AG16" s="19">
        <f t="shared" si="1"/>
        <v>1</v>
      </c>
      <c r="AH16" s="90">
        <f t="shared" si="9"/>
        <v>1</v>
      </c>
      <c r="AI16" s="19">
        <f t="shared" si="3"/>
        <v>0</v>
      </c>
      <c r="AJ16" s="100">
        <f t="shared" ref="AJ16:AJ18" si="24">AC16*0.08</f>
        <v>3482592.3200000003</v>
      </c>
      <c r="AK16" s="103">
        <f t="shared" ref="AK16:AK24" si="25">I16+Q16+Y16</f>
        <v>177788</v>
      </c>
      <c r="AL16" s="19">
        <f t="shared" si="5"/>
        <v>1</v>
      </c>
      <c r="AM16" s="95">
        <f t="shared" si="11"/>
        <v>1</v>
      </c>
      <c r="AN16" s="27">
        <f t="shared" ref="AN16:AN24" si="26">IFERROR(IF(AA16=0,50%,MIN((AB16/AA16)*0.5,50%)),0)</f>
        <v>0.5</v>
      </c>
      <c r="AO16" s="76">
        <f>IFERROR(
   IF(AND(AG16&lt;1,AE16&gt;=AD16),
      0.174,
      MIN(((AG16+AE16)/AD16)*0.2,20%)
   ),
   0
)</f>
        <v>0.2</v>
      </c>
      <c r="AP16" s="76">
        <f t="shared" ref="AP16:AP24" si="27">IFERROR(IF(AH16=0,10%,MIN((AI16/AH16)*0.1,10%)),0)</f>
        <v>0</v>
      </c>
      <c r="AQ16" s="76">
        <f>IFERROR(IF(AND(AB16=0,AK16&gt;0),10%,MIN((AK16/AJ16)*0.1,10%)),0)</f>
        <v>5.105047724908553E-3</v>
      </c>
      <c r="AR16" s="77">
        <f t="shared" ref="AR16:AR24" si="28">IFERROR(IF(AL16=0,10%,MIN((AM16/AL16)*0.1,10%)),0)</f>
        <v>0.1</v>
      </c>
      <c r="AS16" s="76">
        <f>IFERROR(AN16+AO16+AP16+AQ16+AR16,0)</f>
        <v>0.80510504772490854</v>
      </c>
      <c r="AT16" s="19" t="str" cm="1">
        <f t="array" ref="AT16">_xlfn.IFS(AS16&lt;60%,"C",AS16&gt;=60%,"B",AS16&gt;=80,"A")</f>
        <v>B</v>
      </c>
      <c r="AU16" s="27" cm="1">
        <f t="array" ref="AU16">_xlfn.IFS(AS16&gt;=80%,0.05,AS16&gt;=60%,0.03,AS16&lt;60%,0)</f>
        <v>0.05</v>
      </c>
      <c r="AV16" s="164"/>
      <c r="AW16" s="167"/>
      <c r="AX16" s="167"/>
    </row>
    <row r="17" spans="1:50">
      <c r="A17" s="161"/>
      <c r="B17" s="10" t="s">
        <v>61</v>
      </c>
      <c r="C17" s="41">
        <v>1</v>
      </c>
      <c r="D17" s="42"/>
      <c r="E17" s="42"/>
      <c r="F17" s="42"/>
      <c r="G17" s="42"/>
      <c r="H17" s="42"/>
      <c r="I17" s="133">
        <v>6498187</v>
      </c>
      <c r="J17" s="130"/>
      <c r="K17" s="127"/>
      <c r="L17" s="127"/>
      <c r="M17" s="127"/>
      <c r="N17" s="127"/>
      <c r="O17" s="127"/>
      <c r="P17" s="42"/>
      <c r="Q17" s="133">
        <v>17064089</v>
      </c>
      <c r="R17" s="128"/>
      <c r="S17" s="42"/>
      <c r="T17" s="42"/>
      <c r="U17" s="42">
        <v>1</v>
      </c>
      <c r="V17" s="42">
        <v>5</v>
      </c>
      <c r="W17" s="42">
        <v>1</v>
      </c>
      <c r="X17" s="42"/>
      <c r="Y17" s="133">
        <v>16968413</v>
      </c>
      <c r="Z17" s="42">
        <v>2</v>
      </c>
      <c r="AA17" s="90">
        <v>2</v>
      </c>
      <c r="AB17" s="95">
        <f t="shared" si="23"/>
        <v>2</v>
      </c>
      <c r="AC17" s="117">
        <f>48432959+114140944</f>
        <v>162573903</v>
      </c>
      <c r="AD17" s="90">
        <f>IF(AB17&lt;7,3,AB17)</f>
        <v>3</v>
      </c>
      <c r="AE17" s="19">
        <f t="shared" si="0"/>
        <v>5</v>
      </c>
      <c r="AF17" s="90">
        <v>1</v>
      </c>
      <c r="AG17" s="19">
        <f t="shared" si="1"/>
        <v>1</v>
      </c>
      <c r="AH17" s="90">
        <f t="shared" si="9"/>
        <v>2</v>
      </c>
      <c r="AI17" s="19">
        <f t="shared" si="3"/>
        <v>0</v>
      </c>
      <c r="AJ17" s="100">
        <f t="shared" si="24"/>
        <v>13005912.24</v>
      </c>
      <c r="AK17" s="103">
        <f t="shared" si="25"/>
        <v>40530689</v>
      </c>
      <c r="AL17" s="19">
        <f t="shared" si="5"/>
        <v>2</v>
      </c>
      <c r="AM17" s="95">
        <f t="shared" si="11"/>
        <v>2</v>
      </c>
      <c r="AN17" s="27">
        <f t="shared" si="26"/>
        <v>0.5</v>
      </c>
      <c r="AO17" s="76">
        <f>IFERROR(
   IF(AND(AG17&lt;1,AE17&gt;=AD17),
      0.174,
      MIN(((AG17+AE17)/AD17)*0.2,20%)
   ),
   0
)</f>
        <v>0.2</v>
      </c>
      <c r="AP17" s="76">
        <f t="shared" si="27"/>
        <v>0</v>
      </c>
      <c r="AQ17" s="76">
        <f>IFERROR(IF(AND(AB17=0,AK17&gt;0),10%,MIN((AK17/AJ17)*0.1,10%)),0)</f>
        <v>0.1</v>
      </c>
      <c r="AR17" s="77">
        <f t="shared" si="28"/>
        <v>0.1</v>
      </c>
      <c r="AS17" s="76">
        <f>IFERROR(AN17+AO17+AP17+AQ17+AR17,0)</f>
        <v>0.89999999999999991</v>
      </c>
      <c r="AT17" s="19" t="str" cm="1">
        <f t="array" ref="AT17">_xlfn.IFS(AS17&lt;60%,"C",AS17&gt;=60%,"B",AS17&gt;=80,"A")</f>
        <v>B</v>
      </c>
      <c r="AU17" s="27" cm="1">
        <f t="array" ref="AU17">_xlfn.IFS(AS17&gt;=80%,0.05,AS17&gt;=60%,0.03,AS17&lt;60%,0)</f>
        <v>0.05</v>
      </c>
      <c r="AV17" s="164"/>
      <c r="AW17" s="167"/>
      <c r="AX17" s="167"/>
    </row>
    <row r="18" spans="1:50" ht="16.5" customHeight="1">
      <c r="A18" s="161"/>
      <c r="B18" s="11" t="s">
        <v>62</v>
      </c>
      <c r="C18" s="41">
        <v>1</v>
      </c>
      <c r="D18" s="42"/>
      <c r="E18" s="42"/>
      <c r="F18" s="42"/>
      <c r="G18" s="42"/>
      <c r="H18" s="42"/>
      <c r="I18" s="133">
        <v>1153911</v>
      </c>
      <c r="J18" s="130"/>
      <c r="K18" s="127">
        <v>1</v>
      </c>
      <c r="L18" s="127"/>
      <c r="M18" s="127"/>
      <c r="N18" s="127">
        <v>1</v>
      </c>
      <c r="O18" s="127"/>
      <c r="P18" s="42"/>
      <c r="Q18" s="133">
        <v>829892</v>
      </c>
      <c r="R18" s="128"/>
      <c r="S18" s="42"/>
      <c r="T18" s="42"/>
      <c r="U18" s="42"/>
      <c r="V18" s="42"/>
      <c r="W18" s="42">
        <v>1</v>
      </c>
      <c r="X18" s="42">
        <v>6</v>
      </c>
      <c r="Y18" s="133">
        <v>626821</v>
      </c>
      <c r="Z18" s="42">
        <v>2</v>
      </c>
      <c r="AA18" s="90">
        <v>2</v>
      </c>
      <c r="AB18" s="95">
        <f t="shared" si="23"/>
        <v>2</v>
      </c>
      <c r="AC18" s="117">
        <f>49591506+42753344</f>
        <v>92344850</v>
      </c>
      <c r="AD18" s="90">
        <f>IF(AB18&lt;7,3,AB18)</f>
        <v>3</v>
      </c>
      <c r="AE18" s="19">
        <f t="shared" si="0"/>
        <v>1</v>
      </c>
      <c r="AF18" s="90">
        <v>1</v>
      </c>
      <c r="AG18" s="19">
        <f t="shared" si="1"/>
        <v>1</v>
      </c>
      <c r="AH18" s="90">
        <f t="shared" si="9"/>
        <v>2</v>
      </c>
      <c r="AI18" s="19">
        <f t="shared" si="3"/>
        <v>6</v>
      </c>
      <c r="AJ18" s="100">
        <f t="shared" si="24"/>
        <v>7387588</v>
      </c>
      <c r="AK18" s="103">
        <f t="shared" si="25"/>
        <v>2610624</v>
      </c>
      <c r="AL18" s="19">
        <f t="shared" si="5"/>
        <v>2</v>
      </c>
      <c r="AM18" s="95">
        <f t="shared" ref="AM18:AM24" si="29">J18+R18+Z18</f>
        <v>2</v>
      </c>
      <c r="AN18" s="27">
        <f t="shared" si="26"/>
        <v>0.5</v>
      </c>
      <c r="AO18" s="76">
        <f>IFERROR(
   IF(AND(AG18&lt;1,AE18&gt;=AD18),
      0.174,
      MIN(((AG18+AE18)/AD18)*0.2,20%)
   ),
   0
)</f>
        <v>0.13333333333333333</v>
      </c>
      <c r="AP18" s="76">
        <f t="shared" si="27"/>
        <v>0.1</v>
      </c>
      <c r="AQ18" s="76">
        <f>IFERROR(IF(AND(AB18=0,AK18&gt;0),10%,MIN((AK18/AJ18)*0.1,10%)),0)</f>
        <v>3.5337974992649838E-2</v>
      </c>
      <c r="AR18" s="77">
        <f t="shared" si="28"/>
        <v>0.1</v>
      </c>
      <c r="AS18" s="76">
        <f>IFERROR(AN18+AO18+AP18+AQ18+AR18,0)</f>
        <v>0.86867130832598305</v>
      </c>
      <c r="AT18" s="19" t="str" cm="1">
        <f t="array" ref="AT18">_xlfn.IFS(AS18&lt;60%,"C",AS18&gt;=60%,"B",AS18&gt;=80,"A")</f>
        <v>B</v>
      </c>
      <c r="AU18" s="27" cm="1">
        <f t="array" ref="AU18">_xlfn.IFS(AS18&gt;=80%,0.05,AS18&gt;=60%,0.03,AS18&lt;60%,0)</f>
        <v>0.05</v>
      </c>
      <c r="AV18" s="164"/>
      <c r="AW18" s="167"/>
      <c r="AX18" s="167"/>
    </row>
    <row r="19" spans="1:50">
      <c r="A19" s="161"/>
      <c r="B19" s="10" t="s">
        <v>49</v>
      </c>
      <c r="C19" s="41"/>
      <c r="D19" s="42"/>
      <c r="E19" s="42">
        <v>1</v>
      </c>
      <c r="F19" s="42"/>
      <c r="G19" s="42"/>
      <c r="H19" s="42"/>
      <c r="I19" s="133">
        <v>16441471</v>
      </c>
      <c r="J19" s="130"/>
      <c r="K19" s="127"/>
      <c r="L19" s="127"/>
      <c r="M19" s="127"/>
      <c r="N19" s="127">
        <v>2</v>
      </c>
      <c r="O19" s="127"/>
      <c r="P19" s="42"/>
      <c r="Q19" s="133">
        <v>4622625</v>
      </c>
      <c r="R19" s="128"/>
      <c r="S19" s="42"/>
      <c r="T19" s="42"/>
      <c r="U19" s="42"/>
      <c r="V19" s="42">
        <v>1</v>
      </c>
      <c r="W19" s="42">
        <v>1</v>
      </c>
      <c r="X19" s="42"/>
      <c r="Y19" s="133">
        <f>7847332+808416</f>
        <v>8655748</v>
      </c>
      <c r="Z19" s="42">
        <v>2</v>
      </c>
      <c r="AA19" s="90">
        <v>1</v>
      </c>
      <c r="AB19" s="95">
        <f t="shared" si="23"/>
        <v>1</v>
      </c>
      <c r="AC19" s="117">
        <v>146792595</v>
      </c>
      <c r="AD19" s="90">
        <f>IF(AB19&lt;7,3,AB19)</f>
        <v>3</v>
      </c>
      <c r="AE19" s="19">
        <f t="shared" si="0"/>
        <v>3</v>
      </c>
      <c r="AF19" s="90">
        <v>1</v>
      </c>
      <c r="AG19" s="19">
        <f t="shared" si="1"/>
        <v>1</v>
      </c>
      <c r="AH19" s="90">
        <f t="shared" si="9"/>
        <v>1</v>
      </c>
      <c r="AI19" s="19">
        <f t="shared" si="3"/>
        <v>0</v>
      </c>
      <c r="AJ19" s="100">
        <f>AC19*0.08</f>
        <v>11743407.6</v>
      </c>
      <c r="AK19" s="103">
        <f t="shared" si="25"/>
        <v>29719844</v>
      </c>
      <c r="AL19" s="19">
        <f t="shared" si="5"/>
        <v>1</v>
      </c>
      <c r="AM19" s="95">
        <f t="shared" si="29"/>
        <v>2</v>
      </c>
      <c r="AN19" s="27">
        <f t="shared" si="26"/>
        <v>0.5</v>
      </c>
      <c r="AO19" s="76">
        <f>IFERROR(
   IF(AND(AG19&lt;1,AE19&gt;=AD19),
      0.174,
      MIN(((AG19+AE19)/AD19)*0.2,20%)
   ),
   0
)</f>
        <v>0.2</v>
      </c>
      <c r="AP19" s="76">
        <f t="shared" si="27"/>
        <v>0</v>
      </c>
      <c r="AQ19" s="76">
        <f>IFERROR(IF(AND(AB19=0,AK19&gt;0),10%,MIN((AK19/AJ19)*0.1,10%)),0)</f>
        <v>0.1</v>
      </c>
      <c r="AR19" s="77">
        <f t="shared" si="28"/>
        <v>0.1</v>
      </c>
      <c r="AS19" s="76">
        <f>IFERROR(AN19+AO19+AP19+AQ19+AR19,0)</f>
        <v>0.89999999999999991</v>
      </c>
      <c r="AT19" s="19" t="str" cm="1">
        <f t="array" ref="AT19">_xlfn.IFS(AS19&lt;60%,"C",AS19&gt;=60%,"B",AS19&gt;=80,"A")</f>
        <v>B</v>
      </c>
      <c r="AU19" s="27" cm="1">
        <f t="array" ref="AU19">_xlfn.IFS(AS19&gt;=80%,0.05,AS19&gt;=60%,0.03,AS19&lt;60%,0)</f>
        <v>0.05</v>
      </c>
      <c r="AV19" s="164"/>
      <c r="AW19" s="167"/>
      <c r="AX19" s="167"/>
    </row>
    <row r="20" spans="1:50">
      <c r="A20" s="161"/>
      <c r="B20" s="10" t="s">
        <v>63</v>
      </c>
      <c r="C20" s="41"/>
      <c r="D20" s="42"/>
      <c r="E20" s="42"/>
      <c r="F20" s="42"/>
      <c r="G20" s="42"/>
      <c r="H20" s="42"/>
      <c r="I20" s="133">
        <v>342819</v>
      </c>
      <c r="J20" s="130"/>
      <c r="K20" s="127"/>
      <c r="L20" s="127"/>
      <c r="M20" s="127"/>
      <c r="N20" s="127"/>
      <c r="O20" s="127"/>
      <c r="P20" s="42"/>
      <c r="Q20" s="134"/>
      <c r="R20" s="128"/>
      <c r="S20" s="42"/>
      <c r="T20" s="42"/>
      <c r="U20" s="42">
        <v>1</v>
      </c>
      <c r="V20" s="42">
        <v>2</v>
      </c>
      <c r="W20" s="42"/>
      <c r="X20" s="42"/>
      <c r="Y20" s="133">
        <v>5637031</v>
      </c>
      <c r="Z20" s="42">
        <v>1</v>
      </c>
      <c r="AA20" s="90">
        <v>1</v>
      </c>
      <c r="AB20" s="95">
        <f t="shared" si="23"/>
        <v>1</v>
      </c>
      <c r="AC20" s="66">
        <v>110427237</v>
      </c>
      <c r="AD20" s="90">
        <f>IF(AB20&lt;7,3,AB20)</f>
        <v>3</v>
      </c>
      <c r="AE20" s="19">
        <f t="shared" si="0"/>
        <v>2</v>
      </c>
      <c r="AF20" s="90">
        <v>1</v>
      </c>
      <c r="AG20" s="19">
        <f t="shared" si="1"/>
        <v>0</v>
      </c>
      <c r="AH20" s="90">
        <f t="shared" si="9"/>
        <v>1</v>
      </c>
      <c r="AI20" s="19">
        <f t="shared" si="3"/>
        <v>0</v>
      </c>
      <c r="AJ20" s="100">
        <f t="shared" ref="AJ20" si="30">AC20*0.08</f>
        <v>8834178.9600000009</v>
      </c>
      <c r="AK20" s="103">
        <f t="shared" si="25"/>
        <v>5979850</v>
      </c>
      <c r="AL20" s="19">
        <f t="shared" si="5"/>
        <v>1</v>
      </c>
      <c r="AM20" s="95">
        <f t="shared" si="29"/>
        <v>1</v>
      </c>
      <c r="AN20" s="27">
        <f t="shared" si="26"/>
        <v>0.5</v>
      </c>
      <c r="AO20" s="76">
        <f>IFERROR(
   IF(AND(AG20&lt;1,AE20&gt;=AD20),
      0.174,
      MIN(((AG20+AE20)/AD20)*0.2,20%)
   ),
   0
)</f>
        <v>0.13333333333333333</v>
      </c>
      <c r="AP20" s="76">
        <f t="shared" si="27"/>
        <v>0</v>
      </c>
      <c r="AQ20" s="76">
        <f>IFERROR(IF(AND(AB20=0,AK20&gt;0),10%,MIN((AK20/AJ20)*0.1,10%)),0)</f>
        <v>6.7689935047455727E-2</v>
      </c>
      <c r="AR20" s="77">
        <f t="shared" si="28"/>
        <v>0.1</v>
      </c>
      <c r="AS20" s="76">
        <f>IFERROR(AN20+AO20+AP20+AQ20+AR20,0)</f>
        <v>0.80102326838078897</v>
      </c>
      <c r="AT20" s="19" t="str" cm="1">
        <f t="array" ref="AT20">_xlfn.IFS(AS20&lt;60%,"C",AS20&gt;=60%,"B",AS20&gt;=80,"A")</f>
        <v>B</v>
      </c>
      <c r="AU20" s="27" cm="1">
        <f t="array" ref="AU20">_xlfn.IFS(AS20&gt;=80%,0.05,AS20&gt;=60%,0.03,AS20&lt;60%,0)</f>
        <v>0.05</v>
      </c>
      <c r="AV20" s="164"/>
      <c r="AW20" s="167"/>
      <c r="AX20" s="167"/>
    </row>
    <row r="21" spans="1:50">
      <c r="A21" s="161"/>
      <c r="B21" s="10" t="s">
        <v>50</v>
      </c>
      <c r="C21" s="42"/>
      <c r="D21" s="42"/>
      <c r="E21" s="42"/>
      <c r="F21" s="42"/>
      <c r="G21" s="42"/>
      <c r="H21" s="42"/>
      <c r="I21" s="133">
        <v>8318530</v>
      </c>
      <c r="J21" s="42"/>
      <c r="K21" s="126"/>
      <c r="L21" s="127"/>
      <c r="M21" s="127"/>
      <c r="N21" s="127"/>
      <c r="O21" s="127"/>
      <c r="P21" s="42"/>
      <c r="Q21" s="133">
        <v>4228392</v>
      </c>
      <c r="R21" s="127"/>
      <c r="S21" s="41"/>
      <c r="T21" s="42">
        <v>1</v>
      </c>
      <c r="U21" s="42"/>
      <c r="V21" s="42"/>
      <c r="W21" s="42">
        <v>1</v>
      </c>
      <c r="X21" s="42"/>
      <c r="Y21" s="133">
        <v>14114797</v>
      </c>
      <c r="Z21" s="120">
        <v>1</v>
      </c>
      <c r="AA21" s="90">
        <v>1</v>
      </c>
      <c r="AB21" s="95">
        <f t="shared" si="23"/>
        <v>1</v>
      </c>
      <c r="AC21" s="109">
        <v>71116991</v>
      </c>
      <c r="AD21" s="90">
        <f>IF(AB21&lt;7,3,AB21)</f>
        <v>3</v>
      </c>
      <c r="AE21" s="19">
        <f t="shared" si="0"/>
        <v>0</v>
      </c>
      <c r="AF21" s="90">
        <v>1</v>
      </c>
      <c r="AG21" s="19">
        <f t="shared" si="1"/>
        <v>1</v>
      </c>
      <c r="AH21" s="90">
        <f t="shared" si="9"/>
        <v>1</v>
      </c>
      <c r="AI21" s="19">
        <f t="shared" si="3"/>
        <v>0</v>
      </c>
      <c r="AJ21" s="100">
        <f>AC21*0.08</f>
        <v>5689359.2800000003</v>
      </c>
      <c r="AK21" s="103">
        <f t="shared" si="25"/>
        <v>26661719</v>
      </c>
      <c r="AL21" s="19">
        <f t="shared" si="5"/>
        <v>1</v>
      </c>
      <c r="AM21" s="95">
        <f t="shared" si="29"/>
        <v>1</v>
      </c>
      <c r="AN21" s="27">
        <f t="shared" si="26"/>
        <v>0.5</v>
      </c>
      <c r="AO21" s="76">
        <f>IFERROR(
   IF(AND(AG21&lt;1,AE21&gt;=AD21),
      0.174,
      MIN(((AG21+AE21)/AD21)*0.2,20%)
   ),
   0
)</f>
        <v>6.6666666666666666E-2</v>
      </c>
      <c r="AP21" s="76">
        <f t="shared" si="27"/>
        <v>0</v>
      </c>
      <c r="AQ21" s="76">
        <f>IFERROR(IF(AND(AB21=0,AK21&gt;0),10%,MIN((AK21/AJ21)*0.1,10%)),0)</f>
        <v>0.1</v>
      </c>
      <c r="AR21" s="77">
        <f t="shared" si="28"/>
        <v>0.1</v>
      </c>
      <c r="AS21" s="76">
        <f>IFERROR(AN21+AO21+AP21+AQ21+AR21,0)</f>
        <v>0.76666666666666661</v>
      </c>
      <c r="AT21" s="19" t="str" cm="1">
        <f t="array" ref="AT21">_xlfn.IFS(AS21&lt;60%,"C",AS21&gt;=60%,"B",AS21&gt;=80,"A")</f>
        <v>B</v>
      </c>
      <c r="AU21" s="27" cm="1">
        <f t="array" ref="AU21">_xlfn.IFS(AS21&gt;=80%,0.05,AS21&gt;=60%,0.03,AS21&lt;60%,0)</f>
        <v>0.03</v>
      </c>
      <c r="AV21" s="164"/>
      <c r="AW21" s="167"/>
      <c r="AX21" s="167"/>
    </row>
    <row r="22" spans="1:50" ht="15" customHeight="1">
      <c r="A22" s="161"/>
      <c r="B22" s="10" t="s">
        <v>64</v>
      </c>
      <c r="C22" s="42"/>
      <c r="D22" s="42"/>
      <c r="E22" s="42"/>
      <c r="F22" s="42"/>
      <c r="G22" s="42"/>
      <c r="H22" s="42"/>
      <c r="I22" s="134"/>
      <c r="J22" s="42"/>
      <c r="K22" s="126"/>
      <c r="L22" s="127"/>
      <c r="M22" s="127"/>
      <c r="N22" s="127"/>
      <c r="O22" s="127"/>
      <c r="P22" s="42"/>
      <c r="Q22" s="134"/>
      <c r="R22" s="127"/>
      <c r="S22" s="41"/>
      <c r="T22" s="42"/>
      <c r="U22" s="42"/>
      <c r="V22" s="42">
        <v>4</v>
      </c>
      <c r="W22" s="42">
        <v>1</v>
      </c>
      <c r="X22" s="42"/>
      <c r="Y22" s="133"/>
      <c r="Z22" s="42"/>
      <c r="AA22" s="90">
        <v>0</v>
      </c>
      <c r="AB22" s="95">
        <f t="shared" ref="AB22:AB24" si="31">C22+D22+E22+K22+L22+M22+S22+T22+U22</f>
        <v>0</v>
      </c>
      <c r="AC22" s="66"/>
      <c r="AD22" s="90">
        <f>IF(AB22&lt;7,3,AB22)</f>
        <v>3</v>
      </c>
      <c r="AE22" s="19">
        <f t="shared" si="0"/>
        <v>4</v>
      </c>
      <c r="AF22" s="90">
        <v>1</v>
      </c>
      <c r="AG22" s="19">
        <f t="shared" si="1"/>
        <v>1</v>
      </c>
      <c r="AH22" s="90">
        <f t="shared" si="9"/>
        <v>0</v>
      </c>
      <c r="AI22" s="19">
        <f t="shared" si="3"/>
        <v>0</v>
      </c>
      <c r="AJ22" s="100">
        <f t="shared" ref="AJ22" si="32">AC22*0.08</f>
        <v>0</v>
      </c>
      <c r="AK22" s="103">
        <f t="shared" si="25"/>
        <v>0</v>
      </c>
      <c r="AL22" s="19">
        <f t="shared" si="5"/>
        <v>0</v>
      </c>
      <c r="AM22" s="95">
        <f t="shared" si="29"/>
        <v>0</v>
      </c>
      <c r="AN22" s="27">
        <f t="shared" si="26"/>
        <v>0.5</v>
      </c>
      <c r="AO22" s="76">
        <f>IFERROR(
   IF(AND(AG22&lt;1,AE22&gt;=AD22),
      0.174,
      MIN(((AG22+AE22)/AD22)*0.2,20%)
   ),
   0
)</f>
        <v>0.2</v>
      </c>
      <c r="AP22" s="76">
        <f t="shared" si="27"/>
        <v>0.1</v>
      </c>
      <c r="AQ22" s="76">
        <f>IFERROR(IF(AND(AB22=0,AK22&gt;0),10%,MIN((AK22/AJ22)*0.1,10%)),0)</f>
        <v>0</v>
      </c>
      <c r="AR22" s="77">
        <f t="shared" si="28"/>
        <v>0.1</v>
      </c>
      <c r="AS22" s="76">
        <f>IFERROR(AN22+AO22+AP22+AQ22+AR22,0)</f>
        <v>0.89999999999999991</v>
      </c>
      <c r="AT22" s="19" t="str" cm="1">
        <f t="array" ref="AT22">_xlfn.IFS(AS22&lt;60%,"C",AS22&gt;=60%,"B",AS22&gt;=80,"A")</f>
        <v>B</v>
      </c>
      <c r="AU22" s="27" cm="1">
        <f t="array" ref="AU22">_xlfn.IFS(AS22&gt;=80%,0.05,AS22&gt;=60%,0.03,AS22&lt;60%,0)</f>
        <v>0.05</v>
      </c>
      <c r="AV22" s="164"/>
      <c r="AW22" s="167"/>
      <c r="AX22" s="167"/>
    </row>
    <row r="23" spans="1:50">
      <c r="A23" s="161"/>
      <c r="B23" s="10" t="s">
        <v>66</v>
      </c>
      <c r="C23" s="42"/>
      <c r="D23" s="42"/>
      <c r="E23" s="42"/>
      <c r="F23" s="42"/>
      <c r="G23" s="42"/>
      <c r="H23" s="42"/>
      <c r="I23" s="134"/>
      <c r="J23" s="42"/>
      <c r="K23" s="126"/>
      <c r="L23" s="127">
        <v>1</v>
      </c>
      <c r="M23" s="127"/>
      <c r="N23" s="127"/>
      <c r="O23" s="127"/>
      <c r="P23" s="42"/>
      <c r="Q23" s="134"/>
      <c r="R23" s="127"/>
      <c r="S23" s="41"/>
      <c r="T23" s="42"/>
      <c r="U23" s="42">
        <v>1</v>
      </c>
      <c r="V23" s="42">
        <v>4</v>
      </c>
      <c r="W23" s="42">
        <v>1</v>
      </c>
      <c r="X23" s="42">
        <v>4</v>
      </c>
      <c r="Y23" s="133">
        <v>881487</v>
      </c>
      <c r="Z23" s="42"/>
      <c r="AA23" s="90">
        <v>2</v>
      </c>
      <c r="AB23" s="95">
        <f t="shared" si="31"/>
        <v>2</v>
      </c>
      <c r="AC23" s="117">
        <f>71340492+92428754</f>
        <v>163769246</v>
      </c>
      <c r="AD23" s="90">
        <f>IF(AB23&lt;7,3,AB23)</f>
        <v>3</v>
      </c>
      <c r="AE23" s="19">
        <f t="shared" si="0"/>
        <v>4</v>
      </c>
      <c r="AF23" s="90">
        <v>1</v>
      </c>
      <c r="AG23" s="19">
        <f>G23+O23+W23</f>
        <v>1</v>
      </c>
      <c r="AH23" s="90">
        <f t="shared" ref="AH23:AH24" si="33">AB23</f>
        <v>2</v>
      </c>
      <c r="AI23" s="19">
        <f t="shared" si="3"/>
        <v>4</v>
      </c>
      <c r="AJ23" s="100">
        <f>AC23*0.08</f>
        <v>13101539.68</v>
      </c>
      <c r="AK23" s="103">
        <f t="shared" si="25"/>
        <v>881487</v>
      </c>
      <c r="AL23" s="19">
        <f t="shared" si="5"/>
        <v>2</v>
      </c>
      <c r="AM23" s="95">
        <v>2</v>
      </c>
      <c r="AN23" s="27">
        <f t="shared" si="26"/>
        <v>0.5</v>
      </c>
      <c r="AO23" s="76">
        <f>IFERROR(
   IF(AND(AG23&lt;1,AE23&gt;=AD23),
      0.174,
      MIN(((AG23+AE23)/AD23)*0.2,20%)
   ),
   0
)</f>
        <v>0.2</v>
      </c>
      <c r="AP23" s="76">
        <f t="shared" si="27"/>
        <v>0.1</v>
      </c>
      <c r="AQ23" s="76">
        <f>IFERROR(IF(AND(AB23=0,AK23&gt;0),10%,MIN((AK23/AJ23)*0.1,10%)),0)</f>
        <v>6.7281176222793379E-3</v>
      </c>
      <c r="AR23" s="77">
        <f t="shared" si="28"/>
        <v>0.1</v>
      </c>
      <c r="AS23" s="76">
        <f>IFERROR(AN23+AO23+AP23+AQ23+AR23,0)</f>
        <v>0.90672811762227923</v>
      </c>
      <c r="AT23" s="19" t="str" cm="1">
        <f t="array" ref="AT23">_xlfn.IFS(AS23&lt;60%,"C",AS23&gt;=60%,"B",AS23&gt;=80,"A")</f>
        <v>B</v>
      </c>
      <c r="AU23" s="27" cm="1">
        <f t="array" ref="AU23">_xlfn.IFS(AS23&gt;=80%,0.05,AS23&gt;=60%,0.03,AS23&lt;60%,0)</f>
        <v>0.05</v>
      </c>
      <c r="AV23" s="164"/>
      <c r="AW23" s="167"/>
      <c r="AX23" s="167"/>
    </row>
    <row r="24" spans="1:50">
      <c r="A24" s="162"/>
      <c r="B24" s="10" t="s">
        <v>53</v>
      </c>
      <c r="C24" s="42">
        <v>2</v>
      </c>
      <c r="D24" s="42"/>
      <c r="E24" s="42"/>
      <c r="F24" s="42"/>
      <c r="G24" s="42"/>
      <c r="H24" s="42"/>
      <c r="I24" s="133">
        <v>7044828</v>
      </c>
      <c r="J24" s="42"/>
      <c r="K24" s="126"/>
      <c r="L24" s="127"/>
      <c r="M24" s="127"/>
      <c r="N24" s="127"/>
      <c r="O24" s="127"/>
      <c r="P24" s="42"/>
      <c r="Q24" s="133">
        <v>2177603</v>
      </c>
      <c r="R24" s="127"/>
      <c r="S24" s="41"/>
      <c r="T24" s="42"/>
      <c r="U24" s="42"/>
      <c r="V24" s="42"/>
      <c r="W24" s="42"/>
      <c r="X24" s="42"/>
      <c r="Y24" s="133">
        <v>964361</v>
      </c>
      <c r="Z24" s="120">
        <v>2</v>
      </c>
      <c r="AA24" s="118">
        <v>2</v>
      </c>
      <c r="AB24" s="119">
        <f t="shared" si="31"/>
        <v>2</v>
      </c>
      <c r="AC24" s="117">
        <v>105274091</v>
      </c>
      <c r="AD24" s="118">
        <f>IF(AB24&lt;7,3,AB24)</f>
        <v>3</v>
      </c>
      <c r="AE24" s="137">
        <f t="shared" ref="AE24" si="34">F24+N24+V24</f>
        <v>0</v>
      </c>
      <c r="AF24" s="118">
        <v>1</v>
      </c>
      <c r="AG24" s="137">
        <f t="shared" si="1"/>
        <v>0</v>
      </c>
      <c r="AH24" s="118">
        <f t="shared" si="33"/>
        <v>2</v>
      </c>
      <c r="AI24" s="137">
        <f t="shared" si="3"/>
        <v>0</v>
      </c>
      <c r="AJ24" s="100">
        <f t="shared" ref="AJ24" si="35">AC24*0.08</f>
        <v>8421927.2799999993</v>
      </c>
      <c r="AK24" s="103">
        <f t="shared" si="25"/>
        <v>10186792</v>
      </c>
      <c r="AL24" s="19">
        <f t="shared" si="5"/>
        <v>2</v>
      </c>
      <c r="AM24" s="95">
        <f t="shared" si="29"/>
        <v>2</v>
      </c>
      <c r="AN24" s="27">
        <f t="shared" si="26"/>
        <v>0.5</v>
      </c>
      <c r="AO24" s="76">
        <f>IFERROR(
   IF(AND(AG24&lt;1,AE24&gt;=AD24),
      0.174,
      MIN(((AG24+AE24)/AD24)*0.2,20%)
   ),
   0
)</f>
        <v>0</v>
      </c>
      <c r="AP24" s="76">
        <f t="shared" si="27"/>
        <v>0</v>
      </c>
      <c r="AQ24" s="76">
        <f>IFERROR(IF(AND(AB24=0,AK24&gt;0),10%,MIN((AK24/AJ24)*0.1,10%)),0)</f>
        <v>0.1</v>
      </c>
      <c r="AR24" s="77">
        <f t="shared" si="28"/>
        <v>0.1</v>
      </c>
      <c r="AS24" s="76">
        <f>IFERROR(AN24+AO24+AP24+AQ24+AR24,0)</f>
        <v>0.7</v>
      </c>
      <c r="AT24" s="19" t="str" cm="1">
        <f t="array" ref="AT24">_xlfn.IFS(AS24&lt;60%,"C",AS24&gt;=60%,"B",AS24&gt;=80,"A")</f>
        <v>B</v>
      </c>
      <c r="AU24" s="27" cm="1">
        <f t="array" ref="AU24">_xlfn.IFS(AS24&gt;=80%,0.05,AS24&gt;=60%,0.03,AS24&lt;60%,0)</f>
        <v>0.03</v>
      </c>
      <c r="AV24" s="165"/>
      <c r="AW24" s="168"/>
      <c r="AX24" s="168"/>
    </row>
    <row r="25" spans="1:50">
      <c r="C25" s="85">
        <f>SUM(C4:C24)</f>
        <v>6</v>
      </c>
      <c r="D25" s="85">
        <f t="shared" ref="D25:E25" si="36">SUM(D4:D24)</f>
        <v>0</v>
      </c>
      <c r="E25" s="85">
        <f t="shared" si="36"/>
        <v>3</v>
      </c>
      <c r="K25" s="86">
        <f>SUM(K4:K24)</f>
        <v>3</v>
      </c>
      <c r="L25" s="86">
        <f>SUM(L4:L24)</f>
        <v>11</v>
      </c>
      <c r="M25" s="86">
        <f>SUM(M4:M24)</f>
        <v>0</v>
      </c>
      <c r="S25" s="157">
        <f>SUM(S4:S24)</f>
        <v>0</v>
      </c>
      <c r="T25" s="157">
        <f>SUM(T4:T24)</f>
        <v>2</v>
      </c>
      <c r="U25" s="157">
        <f>SUM(U4:U24)</f>
        <v>8</v>
      </c>
      <c r="AA25" s="87">
        <f>SUM(AA5:AA24)</f>
        <v>32</v>
      </c>
      <c r="AB25" s="87">
        <f>SUM(AB4:AB24)</f>
        <v>33</v>
      </c>
      <c r="AD25" s="136">
        <f>SUM(AD5:AD24)</f>
        <v>67</v>
      </c>
      <c r="AE25" s="138">
        <f>SUM(AE5:AE24)</f>
        <v>44</v>
      </c>
      <c r="AF25" s="136">
        <f>SUM(AF5:AF24)</f>
        <v>20</v>
      </c>
      <c r="AG25" s="139">
        <f>SUM(AG5:AG24)</f>
        <v>16</v>
      </c>
      <c r="AH25" s="136">
        <f t="shared" ref="AH25:AI25" si="37">SUM(AH5:AH24)</f>
        <v>32</v>
      </c>
      <c r="AI25" s="139">
        <f t="shared" si="37"/>
        <v>27</v>
      </c>
      <c r="AJ25" s="140">
        <f t="shared" ref="AJ25" si="38">SUM(AJ5:AJ24)</f>
        <v>200465686.88000003</v>
      </c>
      <c r="AK25" s="141">
        <f t="shared" ref="AK25" si="39">SUM(AK5:AK24)</f>
        <v>611909067</v>
      </c>
      <c r="AL25" s="136">
        <f t="shared" ref="AL25" si="40">SUM(AL5:AL24)</f>
        <v>32</v>
      </c>
      <c r="AM25" s="139">
        <f t="shared" ref="AM25" si="41">SUM(AM5:AM24)</f>
        <v>41</v>
      </c>
    </row>
    <row r="26" spans="1:50">
      <c r="C26" s="181">
        <f>SUM(C25:E25)</f>
        <v>9</v>
      </c>
      <c r="D26" s="181"/>
      <c r="E26" s="181"/>
      <c r="K26" s="181">
        <f>SUM(K25:M25)</f>
        <v>14</v>
      </c>
      <c r="L26" s="181"/>
      <c r="M26" s="181"/>
      <c r="S26" s="181">
        <f>SUM(S25:U25)</f>
        <v>10</v>
      </c>
      <c r="T26" s="181"/>
      <c r="U26" s="181"/>
    </row>
    <row r="27" spans="1:50">
      <c r="AJ27" s="150"/>
    </row>
    <row r="30" spans="1:50">
      <c r="A30" s="13"/>
      <c r="B30" s="13"/>
      <c r="C30" s="191" t="s">
        <v>68</v>
      </c>
      <c r="D30" s="192"/>
      <c r="E30" s="192"/>
      <c r="F30" s="192"/>
      <c r="G30" s="192"/>
      <c r="H30" s="192"/>
      <c r="I30" s="192"/>
      <c r="J30" s="193"/>
      <c r="K30" s="194" t="s">
        <v>69</v>
      </c>
      <c r="L30" s="194"/>
      <c r="M30" s="194"/>
      <c r="N30" s="194"/>
      <c r="O30" s="194"/>
      <c r="P30" s="194"/>
      <c r="Q30" s="194"/>
      <c r="R30" s="195"/>
      <c r="S30" s="205" t="s">
        <v>70</v>
      </c>
      <c r="T30" s="205"/>
      <c r="U30" s="205"/>
      <c r="V30" s="205"/>
      <c r="W30" s="205"/>
      <c r="X30" s="205"/>
      <c r="Y30" s="205"/>
      <c r="Z30" s="206"/>
      <c r="AA30" s="207" t="s">
        <v>3</v>
      </c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8"/>
      <c r="AN30" s="185" t="s">
        <v>4</v>
      </c>
      <c r="AO30" s="185"/>
      <c r="AP30" s="185"/>
      <c r="AQ30" s="185"/>
      <c r="AR30" s="200"/>
      <c r="AS30" s="201" t="s">
        <v>5</v>
      </c>
      <c r="AT30" s="201"/>
      <c r="AU30" s="202"/>
      <c r="AV30" s="203" t="s">
        <v>71</v>
      </c>
      <c r="AW30" s="204"/>
      <c r="AX30" s="204"/>
    </row>
    <row r="31" spans="1:50">
      <c r="A31" s="196" t="s">
        <v>9</v>
      </c>
      <c r="B31" s="197" t="s">
        <v>10</v>
      </c>
      <c r="C31" s="198" t="s">
        <v>11</v>
      </c>
      <c r="D31" s="199"/>
      <c r="E31" s="199"/>
      <c r="F31" s="199" t="s">
        <v>12</v>
      </c>
      <c r="G31" s="199" t="s">
        <v>13</v>
      </c>
      <c r="H31" s="188" t="s">
        <v>14</v>
      </c>
      <c r="I31" s="189" t="s">
        <v>15</v>
      </c>
      <c r="J31" s="190" t="s">
        <v>16</v>
      </c>
      <c r="K31" s="185" t="s">
        <v>11</v>
      </c>
      <c r="L31" s="185"/>
      <c r="M31" s="185"/>
      <c r="N31" s="185" t="s">
        <v>12</v>
      </c>
      <c r="O31" s="185" t="s">
        <v>13</v>
      </c>
      <c r="P31" s="184" t="s">
        <v>14</v>
      </c>
      <c r="Q31" s="184" t="s">
        <v>15</v>
      </c>
      <c r="R31" s="187" t="s">
        <v>16</v>
      </c>
      <c r="S31" s="182" t="s">
        <v>11</v>
      </c>
      <c r="T31" s="182"/>
      <c r="U31" s="182"/>
      <c r="V31" s="182" t="s">
        <v>12</v>
      </c>
      <c r="W31" s="182" t="s">
        <v>13</v>
      </c>
      <c r="X31" s="183" t="s">
        <v>14</v>
      </c>
      <c r="Y31" s="183" t="s">
        <v>15</v>
      </c>
      <c r="Z31" s="210" t="s">
        <v>16</v>
      </c>
      <c r="AA31" s="177" t="s">
        <v>17</v>
      </c>
      <c r="AB31" s="177" t="s">
        <v>18</v>
      </c>
      <c r="AC31" s="178" t="s">
        <v>19</v>
      </c>
      <c r="AD31" s="177" t="s">
        <v>20</v>
      </c>
      <c r="AE31" s="177" t="s">
        <v>21</v>
      </c>
      <c r="AF31" s="177" t="s">
        <v>22</v>
      </c>
      <c r="AG31" s="177" t="s">
        <v>23</v>
      </c>
      <c r="AH31" s="177" t="s">
        <v>24</v>
      </c>
      <c r="AI31" s="177" t="s">
        <v>25</v>
      </c>
      <c r="AJ31" s="177" t="s">
        <v>26</v>
      </c>
      <c r="AK31" s="209" t="s">
        <v>27</v>
      </c>
      <c r="AL31" s="177" t="s">
        <v>28</v>
      </c>
      <c r="AM31" s="176" t="s">
        <v>29</v>
      </c>
      <c r="AN31" s="184" t="s">
        <v>30</v>
      </c>
      <c r="AO31" s="184" t="s">
        <v>31</v>
      </c>
      <c r="AP31" s="184" t="s">
        <v>32</v>
      </c>
      <c r="AQ31" s="186" t="s">
        <v>33</v>
      </c>
      <c r="AR31" s="187" t="s">
        <v>34</v>
      </c>
      <c r="AS31" s="180" t="s">
        <v>35</v>
      </c>
      <c r="AT31" s="180" t="s">
        <v>36</v>
      </c>
      <c r="AU31" s="175" t="s">
        <v>37</v>
      </c>
      <c r="AV31" s="211" t="s">
        <v>57</v>
      </c>
      <c r="AW31" s="213" t="s">
        <v>7</v>
      </c>
      <c r="AX31" s="213" t="s">
        <v>8</v>
      </c>
    </row>
    <row r="32" spans="1:50">
      <c r="A32" s="196"/>
      <c r="B32" s="197"/>
      <c r="C32" s="14" t="s">
        <v>38</v>
      </c>
      <c r="D32" s="15" t="s">
        <v>39</v>
      </c>
      <c r="E32" s="15" t="s">
        <v>40</v>
      </c>
      <c r="F32" s="199"/>
      <c r="G32" s="199"/>
      <c r="H32" s="188"/>
      <c r="I32" s="189"/>
      <c r="J32" s="190"/>
      <c r="K32" s="16" t="s">
        <v>38</v>
      </c>
      <c r="L32" s="16" t="s">
        <v>39</v>
      </c>
      <c r="M32" s="16" t="s">
        <v>40</v>
      </c>
      <c r="N32" s="185"/>
      <c r="O32" s="185"/>
      <c r="P32" s="184"/>
      <c r="Q32" s="184"/>
      <c r="R32" s="187"/>
      <c r="S32" s="17" t="s">
        <v>38</v>
      </c>
      <c r="T32" s="17" t="s">
        <v>39</v>
      </c>
      <c r="U32" s="17" t="s">
        <v>40</v>
      </c>
      <c r="V32" s="182"/>
      <c r="W32" s="182"/>
      <c r="X32" s="183"/>
      <c r="Y32" s="183"/>
      <c r="Z32" s="210"/>
      <c r="AA32" s="177"/>
      <c r="AB32" s="177"/>
      <c r="AC32" s="179"/>
      <c r="AD32" s="177"/>
      <c r="AE32" s="177"/>
      <c r="AF32" s="177"/>
      <c r="AG32" s="177"/>
      <c r="AH32" s="177"/>
      <c r="AI32" s="177"/>
      <c r="AJ32" s="177"/>
      <c r="AK32" s="209"/>
      <c r="AL32" s="177"/>
      <c r="AM32" s="176"/>
      <c r="AN32" s="184"/>
      <c r="AO32" s="185"/>
      <c r="AP32" s="184"/>
      <c r="AQ32" s="186"/>
      <c r="AR32" s="187"/>
      <c r="AS32" s="180"/>
      <c r="AT32" s="180"/>
      <c r="AU32" s="175"/>
      <c r="AV32" s="211"/>
      <c r="AW32" s="213"/>
      <c r="AX32" s="213"/>
    </row>
    <row r="33" spans="1:50">
      <c r="A33" s="32"/>
      <c r="B33" s="34" t="s">
        <v>58</v>
      </c>
      <c r="C33" s="37"/>
      <c r="D33" s="38"/>
      <c r="E33" s="38"/>
      <c r="F33" s="31"/>
      <c r="G33" s="31"/>
      <c r="H33" s="32"/>
      <c r="I33" s="57"/>
      <c r="J33" s="33"/>
      <c r="K33" s="131"/>
      <c r="L33" s="121"/>
      <c r="M33" s="131"/>
      <c r="N33" s="62"/>
      <c r="O33" s="62"/>
      <c r="P33" s="122"/>
      <c r="Q33" s="122"/>
      <c r="R33" s="35"/>
      <c r="S33" s="38"/>
      <c r="T33" s="79">
        <v>1</v>
      </c>
      <c r="U33" s="79"/>
      <c r="V33" s="31"/>
      <c r="W33" s="31"/>
      <c r="X33" s="32"/>
      <c r="Y33" s="135"/>
      <c r="Z33" s="32"/>
      <c r="AA33" s="93">
        <v>1</v>
      </c>
      <c r="AB33" s="93">
        <f>C33+D33+E33+K33+L33+M33+S33+T33+U33</f>
        <v>1</v>
      </c>
      <c r="AC33" s="49"/>
      <c r="AD33" s="98"/>
      <c r="AE33" s="32"/>
      <c r="AF33" s="98"/>
      <c r="AG33" s="32"/>
      <c r="AH33" s="98"/>
      <c r="AI33" s="32"/>
      <c r="AJ33" s="98"/>
      <c r="AK33" s="35"/>
      <c r="AL33" s="32"/>
      <c r="AM33" s="35"/>
      <c r="AN33" s="58"/>
      <c r="AO33" s="59"/>
      <c r="AP33" s="58"/>
      <c r="AQ33" s="60"/>
      <c r="AR33" s="61"/>
      <c r="AS33" s="32"/>
      <c r="AT33" s="32"/>
      <c r="AU33" s="36"/>
      <c r="AV33" s="212"/>
      <c r="AW33" s="213"/>
      <c r="AX33" s="213"/>
    </row>
    <row r="34" spans="1:50">
      <c r="A34" s="169" t="s">
        <v>41</v>
      </c>
      <c r="B34" s="8" t="s">
        <v>42</v>
      </c>
      <c r="C34" s="39"/>
      <c r="D34" s="40"/>
      <c r="E34" s="40"/>
      <c r="F34" s="40"/>
      <c r="G34" s="40"/>
      <c r="H34" s="40"/>
      <c r="I34" s="132">
        <v>4185597</v>
      </c>
      <c r="J34" s="129"/>
      <c r="K34" s="124"/>
      <c r="L34" s="124">
        <v>2</v>
      </c>
      <c r="M34" s="124"/>
      <c r="N34" s="124">
        <v>2</v>
      </c>
      <c r="O34" s="124">
        <v>1</v>
      </c>
      <c r="P34" s="40"/>
      <c r="Q34" s="82">
        <v>255260</v>
      </c>
      <c r="R34" s="125"/>
      <c r="S34" s="40"/>
      <c r="T34" s="40"/>
      <c r="U34" s="40"/>
      <c r="V34" s="40"/>
      <c r="W34" s="40"/>
      <c r="X34" s="40">
        <v>2</v>
      </c>
      <c r="Y34" s="82">
        <v>617768</v>
      </c>
      <c r="Z34" s="40">
        <v>3</v>
      </c>
      <c r="AA34" s="89">
        <v>3</v>
      </c>
      <c r="AB34" s="94">
        <f>C34+D34+E34+K34+L34+M34+S34+T34+U34</f>
        <v>2</v>
      </c>
      <c r="AC34" s="22">
        <v>145881176</v>
      </c>
      <c r="AD34" s="89">
        <f>IF(AB34&lt;7,3,AB34)</f>
        <v>3</v>
      </c>
      <c r="AE34" s="18">
        <f t="shared" ref="AE34:AE52" si="42">F34+N34+V34</f>
        <v>2</v>
      </c>
      <c r="AF34" s="89">
        <v>1</v>
      </c>
      <c r="AG34" s="18">
        <f t="shared" ref="AG34:AG53" si="43">G34+O34+W34</f>
        <v>1</v>
      </c>
      <c r="AH34" s="89">
        <f>AB34</f>
        <v>2</v>
      </c>
      <c r="AI34" s="18">
        <f>H34+P34+X34</f>
        <v>2</v>
      </c>
      <c r="AJ34" s="99">
        <f>AC34*0.08</f>
        <v>11670494.08</v>
      </c>
      <c r="AK34" s="102">
        <f>I34+Q34+Y34</f>
        <v>5058625</v>
      </c>
      <c r="AL34" s="18">
        <f>AB34</f>
        <v>2</v>
      </c>
      <c r="AM34" s="94">
        <f>J34+R34+Z34</f>
        <v>3</v>
      </c>
      <c r="AN34" s="26">
        <f>IFERROR(IF(AA34=0,50%,MIN((AB34/AA34)*0.5,50%)),0)</f>
        <v>0.33333333333333331</v>
      </c>
      <c r="AO34" s="29">
        <f>IFERROR(
   IF(AND(AG34&lt;1,AE34&gt;=AD34),
      0.174,
      MIN(((AG34+AE34)/AD34)*0.2,20%)
   ),
   0
)</f>
        <v>0.2</v>
      </c>
      <c r="AP34" s="29">
        <f>IFERROR(MIN(AI34/AH34)*0.1,10%)</f>
        <v>0.1</v>
      </c>
      <c r="AQ34" s="29">
        <f>IFERROR(IF(AND(AB34=0,AK34&gt;0),10%,MIN((AK34/AJ34)*0.1,10%)),0)</f>
        <v>4.3345422784362528E-2</v>
      </c>
      <c r="AR34" s="45">
        <f>IFERROR(IF(AL34=0,10%,MIN((AM34/AL34)*0.1,10%)),0)</f>
        <v>0.1</v>
      </c>
      <c r="AS34" s="29">
        <f>IFERROR(AN34+AO34+AP34+AQ34+AR34,0)</f>
        <v>0.77667875611769577</v>
      </c>
      <c r="AT34" s="18" t="str" cm="1">
        <f t="array" ref="AT34">_xlfn.IFS(AS34&lt;60%,"C",AS34&gt;=60%,"B",AS34&gt;=80,"A")</f>
        <v>B</v>
      </c>
      <c r="AU34" s="26" cm="1">
        <f t="array" ref="AU34">_xlfn.IFS(AS34&gt;=80%,0.05,AS34&gt;=60%,0.03,AS34&lt;60%,0)</f>
        <v>0.03</v>
      </c>
      <c r="AV34" s="172">
        <f>AVERAGE(AS34:AS43)</f>
        <v>0.50006787561176957</v>
      </c>
      <c r="AW34" s="158">
        <f>10000*AV34</f>
        <v>5000.6787561176961</v>
      </c>
      <c r="AX34" s="158">
        <f>AW34*216</f>
        <v>1080146.6113214223</v>
      </c>
    </row>
    <row r="35" spans="1:50">
      <c r="A35" s="170"/>
      <c r="B35" s="9" t="s">
        <v>43</v>
      </c>
      <c r="C35" s="39"/>
      <c r="D35" s="40"/>
      <c r="E35" s="40"/>
      <c r="F35" s="40"/>
      <c r="G35" s="40"/>
      <c r="H35" s="40"/>
      <c r="I35" s="82"/>
      <c r="J35" s="129"/>
      <c r="K35" s="124"/>
      <c r="L35" s="124"/>
      <c r="M35" s="124"/>
      <c r="N35" s="124"/>
      <c r="O35" s="124"/>
      <c r="P35" s="40"/>
      <c r="Q35" s="82">
        <v>891919</v>
      </c>
      <c r="R35" s="125"/>
      <c r="S35" s="40"/>
      <c r="T35" s="40"/>
      <c r="U35" s="40"/>
      <c r="V35" s="40"/>
      <c r="W35" s="40"/>
      <c r="X35" s="40"/>
      <c r="Y35" s="82"/>
      <c r="Z35" s="40"/>
      <c r="AA35" s="89">
        <v>4</v>
      </c>
      <c r="AB35" s="94">
        <f t="shared" ref="AB35:AB39" si="44">C35+D35+E35+K35+L35+M35+S35+T35+U35</f>
        <v>0</v>
      </c>
      <c r="AC35" s="22"/>
      <c r="AD35" s="89">
        <f>IF(AB35&lt;7,3,AB35)</f>
        <v>3</v>
      </c>
      <c r="AE35" s="18">
        <f t="shared" si="42"/>
        <v>0</v>
      </c>
      <c r="AF35" s="89">
        <v>1</v>
      </c>
      <c r="AG35" s="18">
        <f t="shared" si="43"/>
        <v>0</v>
      </c>
      <c r="AH35" s="89">
        <f>AB35</f>
        <v>0</v>
      </c>
      <c r="AI35" s="18">
        <f t="shared" ref="AI35:AI53" si="45">H35+P35+X35</f>
        <v>0</v>
      </c>
      <c r="AJ35" s="99">
        <f>AC35*0.08</f>
        <v>0</v>
      </c>
      <c r="AK35" s="102">
        <f t="shared" ref="AK35:AK43" si="46">I35+Q35+Y35</f>
        <v>891919</v>
      </c>
      <c r="AL35" s="18">
        <f t="shared" ref="AL35:AL53" si="47">AB35</f>
        <v>0</v>
      </c>
      <c r="AM35" s="94">
        <f>J35+R35+Z35</f>
        <v>0</v>
      </c>
      <c r="AN35" s="26">
        <f t="shared" ref="AN35:AN43" si="48">IFERROR(IF(AA35=0,50%,MIN((AB35/AA35)*0.5,50%)),0)</f>
        <v>0</v>
      </c>
      <c r="AO35" s="29">
        <f>IFERROR(
   IF(AND(AG35&lt;1,AE35&gt;=AD35),
      0.174,
      MIN(((AG35+AE35)/AD35)*0.2,20%)
   ),
   0
)</f>
        <v>0</v>
      </c>
      <c r="AP35" s="29">
        <f t="shared" ref="AP35:AP43" si="49">IFERROR(MIN(AI35/AH35)*0.1,10%)</f>
        <v>0.1</v>
      </c>
      <c r="AQ35" s="29">
        <f>IFERROR(IF(AND(AB35=0,AK35&gt;0),10%,MIN((AK35/AJ35)*0.1,10%)),0)</f>
        <v>0.1</v>
      </c>
      <c r="AR35" s="45">
        <f t="shared" ref="AR35:AR43" si="50">IFERROR(IF(AL35=0,10%,MIN((AM35/AL35)*0.1,10%)),0)</f>
        <v>0.1</v>
      </c>
      <c r="AS35" s="29">
        <f>IFERROR(AN35+AO35+AP35+AQ35+AR35,0)</f>
        <v>0.30000000000000004</v>
      </c>
      <c r="AT35" s="18" t="str" cm="1">
        <f t="array" ref="AT35">_xlfn.IFS(AS35&lt;60%,"C",AS35&gt;=60%,"B",AS35&gt;=80,"A")</f>
        <v>C</v>
      </c>
      <c r="AU35" s="26" cm="1">
        <f t="array" ref="AU35">_xlfn.IFS(AS35&gt;=80%,0.05,AS35&gt;=60%,0.03,AS35&lt;60%,0)</f>
        <v>0</v>
      </c>
      <c r="AV35" s="173"/>
      <c r="AW35" s="159"/>
      <c r="AX35" s="159"/>
    </row>
    <row r="36" spans="1:50">
      <c r="A36" s="170"/>
      <c r="B36" s="8" t="s">
        <v>44</v>
      </c>
      <c r="C36" s="39"/>
      <c r="D36" s="40"/>
      <c r="E36" s="40"/>
      <c r="F36" s="40"/>
      <c r="G36" s="40"/>
      <c r="H36" s="40"/>
      <c r="I36" s="82">
        <v>1211131</v>
      </c>
      <c r="J36" s="129"/>
      <c r="K36" s="124"/>
      <c r="L36" s="124"/>
      <c r="M36" s="124"/>
      <c r="N36" s="124"/>
      <c r="O36" s="124">
        <v>1</v>
      </c>
      <c r="P36" s="40"/>
      <c r="Q36" s="82">
        <v>278028</v>
      </c>
      <c r="R36" s="125"/>
      <c r="S36" s="40"/>
      <c r="T36" s="40"/>
      <c r="U36" s="40"/>
      <c r="V36" s="40"/>
      <c r="W36" s="40"/>
      <c r="X36" s="40"/>
      <c r="Y36" s="82">
        <v>4456609</v>
      </c>
      <c r="Z36" s="40"/>
      <c r="AA36" s="89">
        <v>6</v>
      </c>
      <c r="AB36" s="94">
        <f t="shared" si="44"/>
        <v>0</v>
      </c>
      <c r="AC36" s="52"/>
      <c r="AD36" s="89">
        <f>IF(AB36&lt;7,3,AB36)</f>
        <v>3</v>
      </c>
      <c r="AE36" s="18">
        <f t="shared" si="42"/>
        <v>0</v>
      </c>
      <c r="AF36" s="89">
        <v>1</v>
      </c>
      <c r="AG36" s="18">
        <f t="shared" si="43"/>
        <v>1</v>
      </c>
      <c r="AH36" s="89">
        <f t="shared" ref="AH36:AH51" si="51">AB36</f>
        <v>0</v>
      </c>
      <c r="AI36" s="18">
        <f t="shared" si="45"/>
        <v>0</v>
      </c>
      <c r="AJ36" s="99">
        <f t="shared" ref="AJ36:AJ39" si="52">AC36*0.08</f>
        <v>0</v>
      </c>
      <c r="AK36" s="102">
        <f t="shared" si="46"/>
        <v>5945768</v>
      </c>
      <c r="AL36" s="18">
        <f t="shared" si="47"/>
        <v>0</v>
      </c>
      <c r="AM36" s="94">
        <f t="shared" ref="AM36:AM46" si="53">J36+R36+Z36</f>
        <v>0</v>
      </c>
      <c r="AN36" s="26">
        <f t="shared" si="48"/>
        <v>0</v>
      </c>
      <c r="AO36" s="29">
        <f>IFERROR(
   IF(AND(AG36&lt;1,AE36&gt;=AD36),
      0.174,
      MIN(((AG36+AE36)/AD36)*0.2,20%)
   ),
   0
)</f>
        <v>6.6666666666666666E-2</v>
      </c>
      <c r="AP36" s="29">
        <f t="shared" si="49"/>
        <v>0.1</v>
      </c>
      <c r="AQ36" s="29">
        <f>IFERROR(IF(AND(AB36=0,AK36&gt;0),10%,MIN((AK36/AJ36)*0.1,10%)),0)</f>
        <v>0.1</v>
      </c>
      <c r="AR36" s="45">
        <f t="shared" si="50"/>
        <v>0.1</v>
      </c>
      <c r="AS36" s="29">
        <f>IFERROR(AN36+AO36+AP36+AQ36+AR36,0)</f>
        <v>0.3666666666666667</v>
      </c>
      <c r="AT36" s="18" t="str" cm="1">
        <f t="array" ref="AT36">_xlfn.IFS(AS36&lt;60%,"C",AS36&gt;=60%,"B",AS36&gt;=80,"A")</f>
        <v>C</v>
      </c>
      <c r="AU36" s="26" cm="1">
        <f t="array" ref="AU36">_xlfn.IFS(AS36&gt;=80%,0.05,AS36&gt;=60%,0.03,AS36&lt;60%,0)</f>
        <v>0</v>
      </c>
      <c r="AV36" s="173"/>
      <c r="AW36" s="159"/>
      <c r="AX36" s="159"/>
    </row>
    <row r="37" spans="1:50">
      <c r="A37" s="170"/>
      <c r="B37" s="8" t="s">
        <v>45</v>
      </c>
      <c r="C37" s="39"/>
      <c r="D37" s="40"/>
      <c r="E37" s="40"/>
      <c r="F37" s="40"/>
      <c r="G37" s="40"/>
      <c r="H37" s="40"/>
      <c r="I37" s="82">
        <v>900802</v>
      </c>
      <c r="J37" s="129"/>
      <c r="K37" s="124"/>
      <c r="L37" s="124"/>
      <c r="M37" s="124"/>
      <c r="N37" s="124"/>
      <c r="O37" s="124"/>
      <c r="P37" s="40"/>
      <c r="Q37" s="82">
        <v>5531269</v>
      </c>
      <c r="R37" s="125"/>
      <c r="S37" s="40"/>
      <c r="T37" s="40"/>
      <c r="U37" s="40"/>
      <c r="V37" s="40">
        <v>2</v>
      </c>
      <c r="W37" s="40">
        <v>3</v>
      </c>
      <c r="X37" s="40"/>
      <c r="Y37" s="82">
        <f>13345768+3482684</f>
        <v>16828452</v>
      </c>
      <c r="Z37" s="40"/>
      <c r="AA37" s="89">
        <v>13</v>
      </c>
      <c r="AB37" s="94">
        <f t="shared" si="44"/>
        <v>0</v>
      </c>
      <c r="AC37" s="65"/>
      <c r="AD37" s="89">
        <f>IF(AB37&lt;7,3,AB37)</f>
        <v>3</v>
      </c>
      <c r="AE37" s="18">
        <f t="shared" si="42"/>
        <v>2</v>
      </c>
      <c r="AF37" s="89">
        <v>1</v>
      </c>
      <c r="AG37" s="18">
        <f t="shared" si="43"/>
        <v>3</v>
      </c>
      <c r="AH37" s="89">
        <f t="shared" si="51"/>
        <v>0</v>
      </c>
      <c r="AI37" s="18">
        <f t="shared" si="45"/>
        <v>0</v>
      </c>
      <c r="AJ37" s="99">
        <f t="shared" si="52"/>
        <v>0</v>
      </c>
      <c r="AK37" s="102">
        <f t="shared" si="46"/>
        <v>23260523</v>
      </c>
      <c r="AL37" s="18">
        <f t="shared" si="47"/>
        <v>0</v>
      </c>
      <c r="AM37" s="94">
        <f t="shared" si="53"/>
        <v>0</v>
      </c>
      <c r="AN37" s="26">
        <f t="shared" si="48"/>
        <v>0</v>
      </c>
      <c r="AO37" s="29">
        <f>IFERROR(
   IF(AND(AG37&lt;1,AE37&gt;=AD37),
      0.174,
      MIN(((AG37+AE37)/AD37)*0.2,20%)
   ),
   0
)</f>
        <v>0.2</v>
      </c>
      <c r="AP37" s="29">
        <f t="shared" si="49"/>
        <v>0.1</v>
      </c>
      <c r="AQ37" s="29">
        <f>IFERROR(IF(AND(AB37=0,AK37&gt;0),10%,MIN((AK37/AJ37)*0.1,10%)),0)</f>
        <v>0.1</v>
      </c>
      <c r="AR37" s="45">
        <f t="shared" si="50"/>
        <v>0.1</v>
      </c>
      <c r="AS37" s="29">
        <f>IFERROR(AN37+AO37+AP37+AQ37+AR37,0)</f>
        <v>0.5</v>
      </c>
      <c r="AT37" s="18" t="str" cm="1">
        <f t="array" ref="AT37">_xlfn.IFS(AS37&lt;60%,"C",AS37&gt;=60%,"B",AS37&gt;=80,"A")</f>
        <v>C</v>
      </c>
      <c r="AU37" s="26" cm="1">
        <f t="array" ref="AU37">_xlfn.IFS(AS37&gt;=80%,0.05,AS37&gt;=60%,0.03,AS37&lt;60%,0)</f>
        <v>0</v>
      </c>
      <c r="AV37" s="173"/>
      <c r="AW37" s="159"/>
      <c r="AX37" s="159"/>
    </row>
    <row r="38" spans="1:50">
      <c r="A38" s="170"/>
      <c r="B38" s="8" t="s">
        <v>46</v>
      </c>
      <c r="C38" s="39"/>
      <c r="D38" s="40"/>
      <c r="E38" s="40"/>
      <c r="F38" s="63"/>
      <c r="G38" s="40"/>
      <c r="H38" s="40"/>
      <c r="I38" s="82">
        <v>8648927</v>
      </c>
      <c r="J38" s="129"/>
      <c r="K38" s="124"/>
      <c r="L38" s="124"/>
      <c r="M38" s="124"/>
      <c r="N38" s="124"/>
      <c r="O38" s="124"/>
      <c r="P38" s="40"/>
      <c r="Q38" s="82">
        <v>3526033</v>
      </c>
      <c r="R38" s="125"/>
      <c r="S38" s="40"/>
      <c r="T38" s="40"/>
      <c r="U38" s="40">
        <v>2</v>
      </c>
      <c r="V38" s="40"/>
      <c r="W38" s="40">
        <v>1</v>
      </c>
      <c r="X38" s="40">
        <v>1</v>
      </c>
      <c r="Y38" s="82">
        <f>9253427+3458562</f>
        <v>12711989</v>
      </c>
      <c r="Z38" s="40">
        <v>2</v>
      </c>
      <c r="AA38" s="89">
        <v>6</v>
      </c>
      <c r="AB38" s="94">
        <f t="shared" si="44"/>
        <v>2</v>
      </c>
      <c r="AC38" s="108">
        <v>83969394</v>
      </c>
      <c r="AD38" s="89">
        <f>IF(AB38&lt;7,3,AB38)</f>
        <v>3</v>
      </c>
      <c r="AE38" s="18">
        <f t="shared" si="42"/>
        <v>0</v>
      </c>
      <c r="AF38" s="89">
        <v>1</v>
      </c>
      <c r="AG38" s="18">
        <f t="shared" si="43"/>
        <v>1</v>
      </c>
      <c r="AH38" s="89">
        <f t="shared" si="51"/>
        <v>2</v>
      </c>
      <c r="AI38" s="18">
        <f t="shared" si="45"/>
        <v>1</v>
      </c>
      <c r="AJ38" s="99">
        <f t="shared" si="52"/>
        <v>6717551.5200000005</v>
      </c>
      <c r="AK38" s="102">
        <f t="shared" si="46"/>
        <v>24886949</v>
      </c>
      <c r="AL38" s="18">
        <f t="shared" si="47"/>
        <v>2</v>
      </c>
      <c r="AM38" s="94">
        <f t="shared" si="53"/>
        <v>2</v>
      </c>
      <c r="AN38" s="26">
        <f t="shared" si="48"/>
        <v>0.16666666666666666</v>
      </c>
      <c r="AO38" s="29">
        <f>IFERROR(
   IF(AND(AG38&lt;1,AE38&gt;=AD38),
      0.174,
      MIN(((AG38+AE38)/AD38)*0.2,20%)
   ),
   0
)</f>
        <v>6.6666666666666666E-2</v>
      </c>
      <c r="AP38" s="29">
        <f t="shared" si="49"/>
        <v>0.05</v>
      </c>
      <c r="AQ38" s="29">
        <f>IFERROR(IF(AND(AB38=0,AK38&gt;0),10%,MIN((AK38/AJ38)*0.1,10%)),0)</f>
        <v>0.1</v>
      </c>
      <c r="AR38" s="45">
        <f t="shared" si="50"/>
        <v>0.1</v>
      </c>
      <c r="AS38" s="29">
        <f>IFERROR(AN38+AO38+AP38+AQ38+AR38,0)</f>
        <v>0.48333333333333328</v>
      </c>
      <c r="AT38" s="18" t="str" cm="1">
        <f t="array" ref="AT38">_xlfn.IFS(AS38&lt;60%,"C",AS38&gt;=60%,"B",AS38&gt;=80,"A")</f>
        <v>C</v>
      </c>
      <c r="AU38" s="26" cm="1">
        <f t="array" ref="AU38">_xlfn.IFS(AS38&gt;=80%,0.05,AS38&gt;=60%,0.03,AS38&lt;60%,0)</f>
        <v>0</v>
      </c>
      <c r="AV38" s="173"/>
      <c r="AW38" s="159"/>
      <c r="AX38" s="159"/>
    </row>
    <row r="39" spans="1:50">
      <c r="A39" s="170"/>
      <c r="B39" s="8" t="s">
        <v>59</v>
      </c>
      <c r="C39" s="39"/>
      <c r="D39" s="40"/>
      <c r="E39" s="40"/>
      <c r="F39" s="40"/>
      <c r="G39" s="40"/>
      <c r="H39" s="40"/>
      <c r="I39" s="82">
        <v>18231554</v>
      </c>
      <c r="J39" s="129"/>
      <c r="K39" s="124"/>
      <c r="L39" s="124">
        <v>3</v>
      </c>
      <c r="M39" s="124"/>
      <c r="N39" s="124"/>
      <c r="O39" s="124"/>
      <c r="P39" s="40"/>
      <c r="Q39" s="82">
        <v>32620126</v>
      </c>
      <c r="R39" s="125"/>
      <c r="S39" s="40"/>
      <c r="T39" s="40"/>
      <c r="U39" s="40"/>
      <c r="V39" s="40">
        <v>2</v>
      </c>
      <c r="W39" s="40">
        <v>1</v>
      </c>
      <c r="X39" s="40">
        <v>4</v>
      </c>
      <c r="Y39" s="82">
        <f>20724980+5600340</f>
        <v>26325320</v>
      </c>
      <c r="Z39" s="120">
        <v>3</v>
      </c>
      <c r="AA39" s="89">
        <v>6</v>
      </c>
      <c r="AB39" s="94">
        <f t="shared" si="44"/>
        <v>3</v>
      </c>
      <c r="AC39" s="22">
        <v>175103394</v>
      </c>
      <c r="AD39" s="89">
        <f>IF(AB39&lt;7,3,AB39)</f>
        <v>3</v>
      </c>
      <c r="AE39" s="18">
        <f t="shared" si="42"/>
        <v>2</v>
      </c>
      <c r="AF39" s="89">
        <v>1</v>
      </c>
      <c r="AG39" s="18">
        <f t="shared" si="43"/>
        <v>1</v>
      </c>
      <c r="AH39" s="89">
        <f t="shared" si="51"/>
        <v>3</v>
      </c>
      <c r="AI39" s="18">
        <f t="shared" si="45"/>
        <v>4</v>
      </c>
      <c r="AJ39" s="99">
        <f t="shared" si="52"/>
        <v>14008271.52</v>
      </c>
      <c r="AK39" s="102">
        <f t="shared" si="46"/>
        <v>77177000</v>
      </c>
      <c r="AL39" s="25">
        <f t="shared" si="47"/>
        <v>3</v>
      </c>
      <c r="AM39" s="94">
        <f t="shared" si="53"/>
        <v>3</v>
      </c>
      <c r="AN39" s="26">
        <f t="shared" si="48"/>
        <v>0.25</v>
      </c>
      <c r="AO39" s="29">
        <f>IFERROR(
   IF(AND(AG39&lt;1,AE39&gt;=AD39),
      0.174,
      MIN(((AG39+AE39)/AD39)*0.2,20%)
   ),
   0
)</f>
        <v>0.2</v>
      </c>
      <c r="AP39" s="29">
        <f t="shared" si="49"/>
        <v>0.13333333333333333</v>
      </c>
      <c r="AQ39" s="29">
        <f>IFERROR(IF(AND(AB39=0,AK39&gt;0),10%,MIN((AK39/AJ39)*0.1,10%)),0)</f>
        <v>0.1</v>
      </c>
      <c r="AR39" s="45">
        <f t="shared" si="50"/>
        <v>0.1</v>
      </c>
      <c r="AS39" s="29">
        <f>IFERROR(AN39+AO39+AP39+AQ39+AR39,0)</f>
        <v>0.78333333333333333</v>
      </c>
      <c r="AT39" s="18" t="str" cm="1">
        <f t="array" ref="AT39">_xlfn.IFS(AS39&lt;60%,"C",AS39&gt;=60%,"B",AS39&gt;=80,"A")</f>
        <v>B</v>
      </c>
      <c r="AU39" s="26" cm="1">
        <f t="array" ref="AU39">_xlfn.IFS(AS39&gt;=80%,0.05,AS39&gt;=60%,0.03,AS39&lt;60%,0)</f>
        <v>0.03</v>
      </c>
      <c r="AV39" s="173"/>
      <c r="AW39" s="159"/>
      <c r="AX39" s="159"/>
    </row>
    <row r="40" spans="1:50">
      <c r="A40" s="170"/>
      <c r="B40" s="8" t="s">
        <v>67</v>
      </c>
      <c r="C40" s="40">
        <v>1</v>
      </c>
      <c r="D40" s="40"/>
      <c r="E40" s="40"/>
      <c r="F40" s="40">
        <v>2</v>
      </c>
      <c r="G40" s="40"/>
      <c r="H40" s="40"/>
      <c r="I40" s="82">
        <v>9819623</v>
      </c>
      <c r="J40" s="40"/>
      <c r="K40" s="123"/>
      <c r="L40" s="124"/>
      <c r="M40" s="124"/>
      <c r="N40" s="124">
        <v>2</v>
      </c>
      <c r="O40" s="124"/>
      <c r="P40" s="40"/>
      <c r="Q40" s="82">
        <v>32030941</v>
      </c>
      <c r="R40" s="124"/>
      <c r="S40" s="39"/>
      <c r="T40" s="40"/>
      <c r="U40" s="40"/>
      <c r="V40" s="40">
        <v>1</v>
      </c>
      <c r="W40" s="40"/>
      <c r="X40" s="40"/>
      <c r="Y40" s="82">
        <f>32416631+747899</f>
        <v>33164530</v>
      </c>
      <c r="Z40" s="40">
        <v>1</v>
      </c>
      <c r="AA40" s="89">
        <v>6</v>
      </c>
      <c r="AB40" s="94">
        <f>C40+D40+E40+K40+L40+M40+S40+T40+U40</f>
        <v>1</v>
      </c>
      <c r="AC40" s="22">
        <v>37893168</v>
      </c>
      <c r="AD40" s="89">
        <f>IF(AB40&lt;7,3,AB40)</f>
        <v>3</v>
      </c>
      <c r="AE40" s="18">
        <f>F40+N40+V40</f>
        <v>5</v>
      </c>
      <c r="AF40" s="89">
        <v>1</v>
      </c>
      <c r="AG40" s="18">
        <f>G40+O40+W40</f>
        <v>0</v>
      </c>
      <c r="AH40" s="89">
        <f>AB40</f>
        <v>1</v>
      </c>
      <c r="AI40" s="18">
        <f>H40+P40+X40</f>
        <v>0</v>
      </c>
      <c r="AJ40" s="115">
        <f>AC40*0.08</f>
        <v>3031453.44</v>
      </c>
      <c r="AK40" s="102">
        <f t="shared" si="46"/>
        <v>75015094</v>
      </c>
      <c r="AL40" s="18">
        <f>AB40</f>
        <v>1</v>
      </c>
      <c r="AM40" s="18">
        <f>J40+R40+Z40</f>
        <v>1</v>
      </c>
      <c r="AN40" s="116">
        <f t="shared" si="48"/>
        <v>8.3333333333333329E-2</v>
      </c>
      <c r="AO40" s="29">
        <f>IFERROR(
   IF(AND(AG40&lt;1,AE40&gt;=AD40),
      0.174,
      MIN(((AG40+AE40)/AD40)*0.2,20%)
   ),
   0
)</f>
        <v>0.17399999999999999</v>
      </c>
      <c r="AP40" s="29">
        <f t="shared" si="49"/>
        <v>0</v>
      </c>
      <c r="AQ40" s="29">
        <f>IFERROR(IF(AND(AB40=0,AK40&gt;0),10%,MIN((AK40/AJ40)*0.1,10%)),0)</f>
        <v>0.1</v>
      </c>
      <c r="AR40" s="45">
        <f t="shared" si="50"/>
        <v>0.1</v>
      </c>
      <c r="AS40" s="29">
        <f>IFERROR(AN40+AO40+AP40+AQ40+AR40,0)</f>
        <v>0.45733333333333326</v>
      </c>
      <c r="AT40" s="18" t="str" cm="1">
        <f t="array" ref="AT40">_xlfn.IFS(AS40&lt;60%,"C",AS40&gt;=60%,"B",AS40&gt;=80,"A")</f>
        <v>C</v>
      </c>
      <c r="AU40" s="26" cm="1">
        <f t="array" ref="AU40">_xlfn.IFS(AS40&gt;=80%,0.05,AS40&gt;=60%,0.03,AS40&lt;60%,0)</f>
        <v>0</v>
      </c>
      <c r="AV40" s="173"/>
      <c r="AW40" s="159"/>
      <c r="AX40" s="159"/>
    </row>
    <row r="41" spans="1:50">
      <c r="A41" s="170"/>
      <c r="B41" s="8" t="s">
        <v>52</v>
      </c>
      <c r="C41" s="40"/>
      <c r="D41" s="40"/>
      <c r="E41" s="40"/>
      <c r="F41" s="40"/>
      <c r="G41" s="40"/>
      <c r="H41" s="40"/>
      <c r="I41" s="82">
        <v>12074372</v>
      </c>
      <c r="J41" s="40"/>
      <c r="K41" s="123"/>
      <c r="L41" s="124"/>
      <c r="M41" s="124"/>
      <c r="N41" s="124"/>
      <c r="O41" s="124"/>
      <c r="P41" s="40"/>
      <c r="Q41" s="82">
        <v>753314</v>
      </c>
      <c r="R41" s="124"/>
      <c r="S41" s="39"/>
      <c r="T41" s="40"/>
      <c r="U41" s="40"/>
      <c r="V41" s="40"/>
      <c r="W41" s="40"/>
      <c r="X41" s="40"/>
      <c r="Y41" s="82">
        <f>180620+2835576</f>
        <v>3016196</v>
      </c>
      <c r="Z41" s="40"/>
      <c r="AA41" s="89">
        <v>4</v>
      </c>
      <c r="AB41" s="94">
        <f>C41+D41+E41+K41+L41+M41+S41+T41+U41</f>
        <v>0</v>
      </c>
      <c r="AC41" s="22"/>
      <c r="AD41" s="89">
        <f>IF(AB41&lt;7,3,AB41)</f>
        <v>3</v>
      </c>
      <c r="AE41" s="18">
        <f>F41+N41+V41</f>
        <v>0</v>
      </c>
      <c r="AF41" s="89">
        <v>1</v>
      </c>
      <c r="AG41" s="18">
        <f>G41+O41+W41</f>
        <v>0</v>
      </c>
      <c r="AH41" s="89">
        <f>AB41</f>
        <v>0</v>
      </c>
      <c r="AI41" s="18">
        <f>H41+P41+X41</f>
        <v>0</v>
      </c>
      <c r="AJ41" s="115">
        <f>AC41*0.08</f>
        <v>0</v>
      </c>
      <c r="AK41" s="102">
        <f t="shared" si="46"/>
        <v>15843882</v>
      </c>
      <c r="AL41" s="18">
        <f>AB41</f>
        <v>0</v>
      </c>
      <c r="AM41" s="18">
        <f>J41+R41+Z41</f>
        <v>0</v>
      </c>
      <c r="AN41" s="116">
        <f t="shared" si="48"/>
        <v>0</v>
      </c>
      <c r="AO41" s="29">
        <f>IFERROR(
   IF(AND(AG41&lt;1,AE41&gt;=AD41),
      0.174,
      MIN(((AG41+AE41)/AD41)*0.2,20%)
   ),
   0
)</f>
        <v>0</v>
      </c>
      <c r="AP41" s="29">
        <f t="shared" si="49"/>
        <v>0.1</v>
      </c>
      <c r="AQ41" s="29">
        <f>IFERROR(IF(AND(AB41=0,AK41&gt;0),10%,MIN((AK41/AJ41)*0.1,10%)),0)</f>
        <v>0.1</v>
      </c>
      <c r="AR41" s="45">
        <f t="shared" si="50"/>
        <v>0.1</v>
      </c>
      <c r="AS41" s="29">
        <f>IFERROR(AN41+AO41+AP41+AQ41+AR41,0)</f>
        <v>0.30000000000000004</v>
      </c>
      <c r="AT41" s="18" t="str" cm="1">
        <f t="array" ref="AT41">_xlfn.IFS(AS41&lt;60%,"C",AS41&gt;=60%,"B",AS41&gt;=80,"A")</f>
        <v>C</v>
      </c>
      <c r="AU41" s="26" cm="1">
        <f t="array" ref="AU41">_xlfn.IFS(AS41&gt;=80%,0.05,AS41&gt;=60%,0.03,AS41&lt;60%,0)</f>
        <v>0</v>
      </c>
      <c r="AV41" s="173"/>
      <c r="AW41" s="159"/>
      <c r="AX41" s="159"/>
    </row>
    <row r="42" spans="1:50">
      <c r="A42" s="170"/>
      <c r="B42" s="8" t="s">
        <v>72</v>
      </c>
      <c r="C42" s="39">
        <v>1</v>
      </c>
      <c r="D42" s="40"/>
      <c r="E42" s="40"/>
      <c r="F42" s="40"/>
      <c r="G42" s="40"/>
      <c r="H42" s="40"/>
      <c r="I42" s="82">
        <v>20466436</v>
      </c>
      <c r="J42" s="129"/>
      <c r="K42" s="124"/>
      <c r="L42" s="124">
        <v>1</v>
      </c>
      <c r="M42" s="124"/>
      <c r="N42" s="124"/>
      <c r="O42" s="124"/>
      <c r="P42" s="40"/>
      <c r="Q42" s="82">
        <v>3190305</v>
      </c>
      <c r="R42" s="124"/>
      <c r="S42" s="39"/>
      <c r="T42" s="40"/>
      <c r="U42" s="40"/>
      <c r="V42" s="40">
        <v>1</v>
      </c>
      <c r="W42" s="40">
        <v>1</v>
      </c>
      <c r="X42" s="40"/>
      <c r="Y42" s="82">
        <f>5584791+412660</f>
        <v>5997451</v>
      </c>
      <c r="Z42" s="40">
        <v>2</v>
      </c>
      <c r="AA42" s="89">
        <v>2</v>
      </c>
      <c r="AB42" s="94">
        <f t="shared" ref="AB42:AB53" si="54">C42+D42+E42+K42+L42+M42+S42+T42+U42</f>
        <v>2</v>
      </c>
      <c r="AC42" s="22">
        <f>49874106+58663210</f>
        <v>108537316</v>
      </c>
      <c r="AD42" s="89">
        <f>IF(AB42&lt;7,3,AB42)</f>
        <v>3</v>
      </c>
      <c r="AE42" s="18">
        <f t="shared" ref="AE42:AE53" si="55">F42+N42+V42</f>
        <v>1</v>
      </c>
      <c r="AF42" s="89">
        <v>1</v>
      </c>
      <c r="AG42" s="18">
        <f t="shared" ref="AG42:AG51" si="56">G42+O42+W42</f>
        <v>1</v>
      </c>
      <c r="AH42" s="89">
        <f t="shared" ref="AH42:AH53" si="57">AB42</f>
        <v>2</v>
      </c>
      <c r="AI42" s="18">
        <f t="shared" ref="AI42:AI53" si="58">H42+P42+X42</f>
        <v>0</v>
      </c>
      <c r="AJ42" s="115">
        <f t="shared" ref="AJ42:AJ43" si="59">AC42*0.08</f>
        <v>8682985.2799999993</v>
      </c>
      <c r="AK42" s="102">
        <f t="shared" si="46"/>
        <v>29654192</v>
      </c>
      <c r="AL42" s="18">
        <f t="shared" ref="AL42:AL53" si="60">AB42</f>
        <v>2</v>
      </c>
      <c r="AM42" s="18">
        <f t="shared" ref="AM42:AM51" si="61">J42+R42+Z42</f>
        <v>2</v>
      </c>
      <c r="AN42" s="116">
        <f t="shared" si="48"/>
        <v>0.5</v>
      </c>
      <c r="AO42" s="29">
        <f t="shared" ref="AO42:AO43" si="62">IFERROR(
   IF(AND(AG42&lt;1,AE42&gt;=AD42),
      0.174,
      MIN(((AG42+AE42)/AD42)*0.2,20%)
   ),
   0
)</f>
        <v>0.13333333333333333</v>
      </c>
      <c r="AP42" s="29">
        <f t="shared" si="49"/>
        <v>0</v>
      </c>
      <c r="AQ42" s="29">
        <f t="shared" ref="AQ42:AQ43" si="63">IFERROR(IF(AND(AB42=0,AK42&gt;0),10%,MIN((AK42/AJ42)*0.1,10%)),0)</f>
        <v>0.1</v>
      </c>
      <c r="AR42" s="45">
        <f t="shared" si="50"/>
        <v>0.1</v>
      </c>
      <c r="AS42" s="29">
        <f t="shared" ref="AS42:AS43" si="64">IFERROR(AN42+AO42+AP42+AQ42+AR42,0)</f>
        <v>0.83333333333333326</v>
      </c>
      <c r="AT42" s="18" t="str" cm="1">
        <f t="array" ref="AT42">_xlfn.IFS(AS42&lt;60%,"C",AS42&gt;=60%,"B",AS42&gt;=80,"A")</f>
        <v>B</v>
      </c>
      <c r="AU42" s="26" cm="1">
        <f t="array" ref="AU42">_xlfn.IFS(AS42&gt;=80%,0.05,AS42&gt;=60%,0.03,AS42&lt;60%,0)</f>
        <v>0.05</v>
      </c>
      <c r="AV42" s="173"/>
      <c r="AW42" s="159"/>
      <c r="AX42" s="159"/>
    </row>
    <row r="43" spans="1:50">
      <c r="A43" s="171"/>
      <c r="B43" s="8" t="s">
        <v>73</v>
      </c>
      <c r="C43" s="39"/>
      <c r="D43" s="40"/>
      <c r="E43" s="40"/>
      <c r="F43" s="40"/>
      <c r="G43" s="40"/>
      <c r="H43" s="40"/>
      <c r="I43" s="82"/>
      <c r="J43" s="129"/>
      <c r="K43" s="124"/>
      <c r="L43" s="124"/>
      <c r="M43" s="124"/>
      <c r="N43" s="124"/>
      <c r="O43" s="124"/>
      <c r="P43" s="40"/>
      <c r="Q43" s="82"/>
      <c r="R43" s="125"/>
      <c r="S43" s="40"/>
      <c r="T43" s="40"/>
      <c r="U43" s="40"/>
      <c r="V43" s="40"/>
      <c r="W43" s="40"/>
      <c r="X43" s="40"/>
      <c r="Y43" s="82"/>
      <c r="Z43" s="40"/>
      <c r="AA43" s="89">
        <v>2</v>
      </c>
      <c r="AB43" s="94">
        <f t="shared" si="54"/>
        <v>0</v>
      </c>
      <c r="AC43" s="53"/>
      <c r="AD43" s="89">
        <f>IF(AB43&lt;7,3,AB43)</f>
        <v>3</v>
      </c>
      <c r="AE43" s="18">
        <f t="shared" si="55"/>
        <v>0</v>
      </c>
      <c r="AF43" s="89">
        <v>1</v>
      </c>
      <c r="AG43" s="18">
        <f t="shared" si="56"/>
        <v>0</v>
      </c>
      <c r="AH43" s="89">
        <f t="shared" si="57"/>
        <v>0</v>
      </c>
      <c r="AI43" s="18">
        <f t="shared" si="58"/>
        <v>0</v>
      </c>
      <c r="AJ43" s="115">
        <f t="shared" si="59"/>
        <v>0</v>
      </c>
      <c r="AK43" s="102">
        <f t="shared" si="46"/>
        <v>0</v>
      </c>
      <c r="AL43" s="18">
        <f t="shared" si="60"/>
        <v>0</v>
      </c>
      <c r="AM43" s="18">
        <f t="shared" si="61"/>
        <v>0</v>
      </c>
      <c r="AN43" s="116">
        <f t="shared" si="48"/>
        <v>0</v>
      </c>
      <c r="AO43" s="29">
        <f t="shared" si="62"/>
        <v>0</v>
      </c>
      <c r="AP43" s="29">
        <f t="shared" si="49"/>
        <v>0.1</v>
      </c>
      <c r="AQ43" s="29">
        <f t="shared" si="63"/>
        <v>0</v>
      </c>
      <c r="AR43" s="45">
        <f>IFERROR(IF(AL43=0,10%,MIN((AM43/AL43)*0.1,10%)),0)</f>
        <v>0.1</v>
      </c>
      <c r="AS43" s="29">
        <f t="shared" si="64"/>
        <v>0.2</v>
      </c>
      <c r="AT43" s="18" t="str" cm="1">
        <f t="array" ref="AT43">_xlfn.IFS(AS43&lt;60%,"C",AS43&gt;=60%,"B",AS43&gt;=80,"A")</f>
        <v>C</v>
      </c>
      <c r="AU43" s="26" cm="1">
        <f t="array" ref="AU43">_xlfn.IFS(AS43&gt;=80%,0.05,AS43&gt;=60%,0.03,AS43&lt;60%,0)</f>
        <v>0</v>
      </c>
      <c r="AV43" s="174"/>
      <c r="AW43" s="245"/>
      <c r="AX43" s="245"/>
    </row>
    <row r="44" spans="1:50">
      <c r="A44" s="160" t="s">
        <v>47</v>
      </c>
      <c r="B44" s="10" t="s">
        <v>48</v>
      </c>
      <c r="C44" s="41"/>
      <c r="D44" s="42"/>
      <c r="E44" s="42">
        <v>2</v>
      </c>
      <c r="F44" s="42"/>
      <c r="G44" s="42"/>
      <c r="H44" s="64">
        <v>2</v>
      </c>
      <c r="I44" s="133">
        <v>114211305</v>
      </c>
      <c r="J44" s="130"/>
      <c r="K44" s="127">
        <v>1</v>
      </c>
      <c r="L44" s="127">
        <v>4</v>
      </c>
      <c r="M44" s="127"/>
      <c r="N44" s="127">
        <v>2</v>
      </c>
      <c r="O44" s="127"/>
      <c r="P44" s="42">
        <v>3</v>
      </c>
      <c r="Q44" s="133">
        <v>53148719</v>
      </c>
      <c r="R44" s="128"/>
      <c r="S44" s="42"/>
      <c r="T44" s="42"/>
      <c r="U44" s="42">
        <v>3</v>
      </c>
      <c r="V44" s="42">
        <v>6</v>
      </c>
      <c r="W44" s="42">
        <v>1</v>
      </c>
      <c r="X44" s="42">
        <v>5</v>
      </c>
      <c r="Y44" s="133">
        <v>70066298</v>
      </c>
      <c r="Z44" s="42">
        <v>17</v>
      </c>
      <c r="AA44" s="90">
        <v>11</v>
      </c>
      <c r="AB44" s="95">
        <f t="shared" si="54"/>
        <v>10</v>
      </c>
      <c r="AC44" s="117">
        <f>400852171+73646345+40411175+286479828+257215802</f>
        <v>1058605321</v>
      </c>
      <c r="AD44" s="90">
        <f>IF(AB44&lt;7,3,AB44)</f>
        <v>10</v>
      </c>
      <c r="AE44" s="19">
        <f t="shared" si="55"/>
        <v>8</v>
      </c>
      <c r="AF44" s="90">
        <v>1</v>
      </c>
      <c r="AG44" s="19">
        <f t="shared" si="56"/>
        <v>1</v>
      </c>
      <c r="AH44" s="90">
        <f t="shared" si="57"/>
        <v>10</v>
      </c>
      <c r="AI44" s="19">
        <f t="shared" si="58"/>
        <v>10</v>
      </c>
      <c r="AJ44" s="100">
        <f>AC44*0.08</f>
        <v>84688425.680000007</v>
      </c>
      <c r="AK44" s="103">
        <f>I44+Q44+Y44</f>
        <v>237426322</v>
      </c>
      <c r="AL44" s="19">
        <f t="shared" si="60"/>
        <v>10</v>
      </c>
      <c r="AM44" s="95">
        <f t="shared" si="61"/>
        <v>17</v>
      </c>
      <c r="AN44" s="27">
        <f>IFERROR(IF(AA44=0,50%,MIN((AB44/AA44)*0.5,50%)),0)</f>
        <v>0.45454545454545453</v>
      </c>
      <c r="AO44" s="76">
        <f>IFERROR(
   IF(AND(AG44&lt;1,AE44&gt;=AD44),
      0.174,
      MIN(((AG44+AE44)/AD44)*0.2,20%)
   ),
   0
)</f>
        <v>0.18000000000000002</v>
      </c>
      <c r="AP44" s="76">
        <f>IFERROR(MIN(AI44/AH44)*0.1,10%)</f>
        <v>0.1</v>
      </c>
      <c r="AQ44" s="76">
        <f>IFERROR(IF(AND(AB44=0,AK44&gt;0),10%,MIN((AK44/AJ44)*0.1,10%)),0)</f>
        <v>0.1</v>
      </c>
      <c r="AR44" s="77">
        <f>IFERROR(IF(AL44=0,10%,MIN((AM44/AL44)*0.1,10%)),0)</f>
        <v>0.1</v>
      </c>
      <c r="AS44" s="76">
        <f>IFERROR(AN44+AO44+AP44+AQ44+AR44,0)</f>
        <v>0.93454545454545446</v>
      </c>
      <c r="AT44" s="19" t="str" cm="1">
        <f t="array" ref="AT44">_xlfn.IFS(AS44&lt;60%,"C",AS44&gt;=60%,"B",AS44&gt;=80,"A")</f>
        <v>B</v>
      </c>
      <c r="AU44" s="27" cm="1">
        <f t="array" ref="AU44">_xlfn.IFS(AS44&gt;=80%,0.05,AS44&gt;=60%,0.03,AS44&lt;60%,0)</f>
        <v>0.05</v>
      </c>
      <c r="AV44" s="163">
        <f>AVERAGE(AS44:AS53)</f>
        <v>0.65744065299327481</v>
      </c>
      <c r="AW44" s="166">
        <f>10000*AV44</f>
        <v>6574.4065299327485</v>
      </c>
      <c r="AX44" s="166">
        <f>AW44*216</f>
        <v>1420071.8104654737</v>
      </c>
    </row>
    <row r="45" spans="1:50" ht="30.75">
      <c r="A45" s="161"/>
      <c r="B45" s="11" t="s">
        <v>60</v>
      </c>
      <c r="C45" s="41"/>
      <c r="D45" s="42"/>
      <c r="E45" s="42"/>
      <c r="F45" s="42"/>
      <c r="G45" s="42"/>
      <c r="H45" s="42"/>
      <c r="I45" s="133">
        <v>177788</v>
      </c>
      <c r="J45" s="130"/>
      <c r="K45" s="127">
        <v>1</v>
      </c>
      <c r="L45" s="127"/>
      <c r="M45" s="127"/>
      <c r="N45" s="127">
        <v>5</v>
      </c>
      <c r="O45" s="127">
        <v>1</v>
      </c>
      <c r="P45" s="42"/>
      <c r="Q45" s="133"/>
      <c r="R45" s="128"/>
      <c r="S45" s="42"/>
      <c r="T45" s="42"/>
      <c r="U45" s="42"/>
      <c r="V45" s="42"/>
      <c r="W45" s="42"/>
      <c r="X45" s="42"/>
      <c r="Y45" s="134"/>
      <c r="Z45" s="142">
        <v>1</v>
      </c>
      <c r="AA45" s="90">
        <v>2</v>
      </c>
      <c r="AB45" s="95">
        <f t="shared" si="54"/>
        <v>1</v>
      </c>
      <c r="AC45" s="117">
        <v>43532404</v>
      </c>
      <c r="AD45" s="90">
        <f>IF(AB45&lt;7,3,AB45)</f>
        <v>3</v>
      </c>
      <c r="AE45" s="19">
        <f t="shared" si="55"/>
        <v>5</v>
      </c>
      <c r="AF45" s="90">
        <v>1</v>
      </c>
      <c r="AG45" s="19">
        <f t="shared" si="56"/>
        <v>1</v>
      </c>
      <c r="AH45" s="90">
        <f t="shared" si="57"/>
        <v>1</v>
      </c>
      <c r="AI45" s="19">
        <f t="shared" si="58"/>
        <v>0</v>
      </c>
      <c r="AJ45" s="100">
        <f t="shared" ref="AJ45:AJ47" si="65">AC45*0.08</f>
        <v>3482592.3200000003</v>
      </c>
      <c r="AK45" s="103">
        <f t="shared" ref="AK45:AK53" si="66">I45+Q45+Y45</f>
        <v>177788</v>
      </c>
      <c r="AL45" s="19">
        <f t="shared" si="60"/>
        <v>1</v>
      </c>
      <c r="AM45" s="95">
        <f t="shared" si="61"/>
        <v>1</v>
      </c>
      <c r="AN45" s="27">
        <f t="shared" ref="AN45:AN53" si="67">IFERROR(IF(AA45=0,50%,MIN((AB45/AA45)*0.5,50%)),0)</f>
        <v>0.25</v>
      </c>
      <c r="AO45" s="76">
        <f>IFERROR(
   IF(AND(AG45&lt;1,AE45&gt;=AD45),
      0.174,
      MIN(((AG45+AE45)/AD45)*0.2,20%)
   ),
   0
)</f>
        <v>0.2</v>
      </c>
      <c r="AP45" s="76">
        <f t="shared" ref="AP45:AP53" si="68">IFERROR(MIN(AI45/AH45)*0.1,10%)</f>
        <v>0</v>
      </c>
      <c r="AQ45" s="76">
        <f>IFERROR(IF(AND(AB45=0,AK45&gt;0),10%,MIN((AK45/AJ45)*0.1,10%)),0)</f>
        <v>5.105047724908553E-3</v>
      </c>
      <c r="AR45" s="77">
        <f t="shared" ref="AR45:AR53" si="69">IFERROR(IF(AL45=0,10%,MIN((AM45/AL45)*0.1,10%)),0)</f>
        <v>0.1</v>
      </c>
      <c r="AS45" s="76">
        <f>IFERROR(AN45+AO45+AP45+AQ45+AR45,0)</f>
        <v>0.55510504772490854</v>
      </c>
      <c r="AT45" s="19" t="str" cm="1">
        <f t="array" ref="AT45">_xlfn.IFS(AS45&lt;60%,"C",AS45&gt;=60%,"B",AS45&gt;=80,"A")</f>
        <v>C</v>
      </c>
      <c r="AU45" s="27" cm="1">
        <f t="array" ref="AU45">_xlfn.IFS(AS45&gt;=80%,0.05,AS45&gt;=60%,0.03,AS45&lt;60%,0)</f>
        <v>0</v>
      </c>
      <c r="AV45" s="164"/>
      <c r="AW45" s="167"/>
      <c r="AX45" s="167"/>
    </row>
    <row r="46" spans="1:50">
      <c r="A46" s="161"/>
      <c r="B46" s="10" t="s">
        <v>61</v>
      </c>
      <c r="C46" s="41">
        <v>1</v>
      </c>
      <c r="D46" s="42"/>
      <c r="E46" s="42"/>
      <c r="F46" s="42"/>
      <c r="G46" s="42"/>
      <c r="H46" s="42"/>
      <c r="I46" s="133">
        <v>6498187</v>
      </c>
      <c r="J46" s="130"/>
      <c r="K46" s="127"/>
      <c r="L46" s="127"/>
      <c r="M46" s="127"/>
      <c r="N46" s="127"/>
      <c r="O46" s="127"/>
      <c r="P46" s="42"/>
      <c r="Q46" s="133">
        <v>17064089</v>
      </c>
      <c r="R46" s="128"/>
      <c r="S46" s="42"/>
      <c r="T46" s="42"/>
      <c r="U46" s="42">
        <v>1</v>
      </c>
      <c r="V46" s="42">
        <v>5</v>
      </c>
      <c r="W46" s="42">
        <v>1</v>
      </c>
      <c r="X46" s="42"/>
      <c r="Y46" s="133">
        <v>16968413</v>
      </c>
      <c r="Z46" s="42">
        <v>2</v>
      </c>
      <c r="AA46" s="90">
        <v>2</v>
      </c>
      <c r="AB46" s="95">
        <f t="shared" si="54"/>
        <v>2</v>
      </c>
      <c r="AC46" s="117">
        <f>48432959+114140944</f>
        <v>162573903</v>
      </c>
      <c r="AD46" s="90">
        <f>IF(AB46&lt;7,3,AB46)</f>
        <v>3</v>
      </c>
      <c r="AE46" s="19">
        <f t="shared" si="55"/>
        <v>5</v>
      </c>
      <c r="AF46" s="90">
        <v>1</v>
      </c>
      <c r="AG46" s="19">
        <f t="shared" si="56"/>
        <v>1</v>
      </c>
      <c r="AH46" s="90">
        <f t="shared" si="57"/>
        <v>2</v>
      </c>
      <c r="AI46" s="19">
        <f t="shared" si="58"/>
        <v>0</v>
      </c>
      <c r="AJ46" s="101">
        <f t="shared" si="65"/>
        <v>13005912.24</v>
      </c>
      <c r="AK46" s="103">
        <f t="shared" si="66"/>
        <v>40530689</v>
      </c>
      <c r="AL46" s="19">
        <f t="shared" si="60"/>
        <v>2</v>
      </c>
      <c r="AM46" s="95">
        <f t="shared" si="61"/>
        <v>2</v>
      </c>
      <c r="AN46" s="27">
        <f t="shared" si="67"/>
        <v>0.5</v>
      </c>
      <c r="AO46" s="76">
        <f>IFERROR(
   IF(AND(AG46&lt;1,AE46&gt;=AD46),
      0.174,
      MIN(((AG46+AE46)/AD46)*0.2,20%)
   ),
   0
)</f>
        <v>0.2</v>
      </c>
      <c r="AP46" s="76">
        <f t="shared" si="68"/>
        <v>0</v>
      </c>
      <c r="AQ46" s="76">
        <f>IFERROR(IF(AND(AB46=0,AK46&gt;0),10%,MIN((AK46/AJ46)*0.1,10%)),0)</f>
        <v>0.1</v>
      </c>
      <c r="AR46" s="77">
        <f t="shared" si="69"/>
        <v>0.1</v>
      </c>
      <c r="AS46" s="76">
        <f>IFERROR(AN46+AO46+AP46+AQ46+AR46,0)</f>
        <v>0.89999999999999991</v>
      </c>
      <c r="AT46" s="19" t="str" cm="1">
        <f t="array" ref="AT46">_xlfn.IFS(AS46&lt;60%,"C",AS46&gt;=60%,"B",AS46&gt;=80,"A")</f>
        <v>B</v>
      </c>
      <c r="AU46" s="27" cm="1">
        <f t="array" ref="AU46">_xlfn.IFS(AS46&gt;=80%,0.05,AS46&gt;=60%,0.03,AS46&lt;60%,0)</f>
        <v>0.05</v>
      </c>
      <c r="AV46" s="164"/>
      <c r="AW46" s="167"/>
      <c r="AX46" s="167"/>
    </row>
    <row r="47" spans="1:50" ht="16.5" customHeight="1">
      <c r="A47" s="161"/>
      <c r="B47" s="11" t="s">
        <v>62</v>
      </c>
      <c r="C47" s="41">
        <v>1</v>
      </c>
      <c r="D47" s="42"/>
      <c r="E47" s="42"/>
      <c r="F47" s="42"/>
      <c r="G47" s="42"/>
      <c r="H47" s="42"/>
      <c r="I47" s="133">
        <v>1153911</v>
      </c>
      <c r="J47" s="130"/>
      <c r="K47" s="127">
        <v>1</v>
      </c>
      <c r="L47" s="127"/>
      <c r="M47" s="127"/>
      <c r="N47" s="127">
        <v>1</v>
      </c>
      <c r="O47" s="127"/>
      <c r="P47" s="42"/>
      <c r="Q47" s="133">
        <v>829892</v>
      </c>
      <c r="R47" s="128"/>
      <c r="S47" s="42"/>
      <c r="T47" s="42"/>
      <c r="U47" s="42"/>
      <c r="V47" s="42"/>
      <c r="W47" s="42">
        <v>1</v>
      </c>
      <c r="X47" s="42">
        <v>6</v>
      </c>
      <c r="Y47" s="133">
        <v>626821</v>
      </c>
      <c r="Z47" s="42">
        <v>2</v>
      </c>
      <c r="AA47" s="90">
        <v>2</v>
      </c>
      <c r="AB47" s="95">
        <f t="shared" si="54"/>
        <v>2</v>
      </c>
      <c r="AC47" s="117">
        <f>49591506+42753344</f>
        <v>92344850</v>
      </c>
      <c r="AD47" s="90">
        <f>IF(AB47&lt;7,3,AB47)</f>
        <v>3</v>
      </c>
      <c r="AE47" s="19">
        <f t="shared" si="55"/>
        <v>1</v>
      </c>
      <c r="AF47" s="90">
        <v>1</v>
      </c>
      <c r="AG47" s="19">
        <f t="shared" si="56"/>
        <v>1</v>
      </c>
      <c r="AH47" s="90">
        <f t="shared" si="57"/>
        <v>2</v>
      </c>
      <c r="AI47" s="19">
        <f t="shared" si="58"/>
        <v>6</v>
      </c>
      <c r="AJ47" s="101">
        <f t="shared" si="65"/>
        <v>7387588</v>
      </c>
      <c r="AK47" s="103">
        <f t="shared" si="66"/>
        <v>2610624</v>
      </c>
      <c r="AL47" s="19">
        <f t="shared" si="60"/>
        <v>2</v>
      </c>
      <c r="AM47" s="95">
        <f t="shared" si="61"/>
        <v>2</v>
      </c>
      <c r="AN47" s="27">
        <f t="shared" si="67"/>
        <v>0.5</v>
      </c>
      <c r="AO47" s="76">
        <f>IFERROR(
   IF(AND(AG47&lt;1,AE47&gt;=AD47),
      0.174,
      MIN(((AG47+AE47)/AD47)*0.2,20%)
   ),
   0
)</f>
        <v>0.13333333333333333</v>
      </c>
      <c r="AP47" s="76">
        <f t="shared" si="68"/>
        <v>0.30000000000000004</v>
      </c>
      <c r="AQ47" s="76">
        <f>IFERROR(IF(AND(AB47=0,AK47&gt;0),10%,MIN((AK47/AJ47)*0.1,10%)),0)</f>
        <v>3.5337974992649838E-2</v>
      </c>
      <c r="AR47" s="77">
        <f t="shared" si="69"/>
        <v>0.1</v>
      </c>
      <c r="AS47" s="76">
        <f>IFERROR(AN47+AO47+AP47+AQ47+AR47,0)</f>
        <v>1.0686713083259831</v>
      </c>
      <c r="AT47" s="19" t="str" cm="1">
        <f t="array" ref="AT47">_xlfn.IFS(AS47&lt;60%,"C",AS47&gt;=60%,"B",AS47&gt;=80,"A")</f>
        <v>B</v>
      </c>
      <c r="AU47" s="27" cm="1">
        <f t="array" ref="AU47">_xlfn.IFS(AS47&gt;=80%,0.05,AS47&gt;=60%,0.03,AS47&lt;60%,0)</f>
        <v>0.05</v>
      </c>
      <c r="AV47" s="164"/>
      <c r="AW47" s="167"/>
      <c r="AX47" s="167"/>
    </row>
    <row r="48" spans="1:50">
      <c r="A48" s="161"/>
      <c r="B48" s="10" t="s">
        <v>49</v>
      </c>
      <c r="C48" s="41"/>
      <c r="D48" s="42"/>
      <c r="E48" s="42">
        <v>1</v>
      </c>
      <c r="F48" s="42"/>
      <c r="G48" s="42"/>
      <c r="H48" s="42"/>
      <c r="I48" s="133">
        <v>16441471</v>
      </c>
      <c r="J48" s="130"/>
      <c r="K48" s="127"/>
      <c r="L48" s="127"/>
      <c r="M48" s="127"/>
      <c r="N48" s="127">
        <v>2</v>
      </c>
      <c r="O48" s="127"/>
      <c r="P48" s="42"/>
      <c r="Q48" s="133">
        <v>4622625</v>
      </c>
      <c r="R48" s="128"/>
      <c r="S48" s="42"/>
      <c r="T48" s="42"/>
      <c r="U48" s="42"/>
      <c r="V48" s="42">
        <v>1</v>
      </c>
      <c r="W48" s="42">
        <v>1</v>
      </c>
      <c r="X48" s="42"/>
      <c r="Y48" s="133">
        <f>7847332+808416</f>
        <v>8655748</v>
      </c>
      <c r="Z48" s="42">
        <v>2</v>
      </c>
      <c r="AA48" s="90">
        <v>6</v>
      </c>
      <c r="AB48" s="95">
        <f t="shared" si="54"/>
        <v>1</v>
      </c>
      <c r="AC48" s="117">
        <v>146792595</v>
      </c>
      <c r="AD48" s="90">
        <f>IF(AB48&lt;7,3,AB48)</f>
        <v>3</v>
      </c>
      <c r="AE48" s="19">
        <f t="shared" si="55"/>
        <v>3</v>
      </c>
      <c r="AF48" s="90">
        <v>1</v>
      </c>
      <c r="AG48" s="19">
        <f t="shared" si="56"/>
        <v>1</v>
      </c>
      <c r="AH48" s="90">
        <f t="shared" si="57"/>
        <v>1</v>
      </c>
      <c r="AI48" s="19">
        <f t="shared" si="58"/>
        <v>0</v>
      </c>
      <c r="AJ48" s="101">
        <f>AC48*0.08</f>
        <v>11743407.6</v>
      </c>
      <c r="AK48" s="103">
        <f t="shared" si="66"/>
        <v>29719844</v>
      </c>
      <c r="AL48" s="19">
        <f t="shared" si="60"/>
        <v>1</v>
      </c>
      <c r="AM48" s="95">
        <f t="shared" si="61"/>
        <v>2</v>
      </c>
      <c r="AN48" s="27">
        <f t="shared" si="67"/>
        <v>8.3333333333333329E-2</v>
      </c>
      <c r="AO48" s="76">
        <f>IFERROR(
   IF(AND(AG48&lt;1,AE48&gt;=AD48),
      0.174,
      MIN(((AG48+AE48)/AD48)*0.2,20%)
   ),
   0
)</f>
        <v>0.2</v>
      </c>
      <c r="AP48" s="76">
        <f t="shared" si="68"/>
        <v>0</v>
      </c>
      <c r="AQ48" s="76">
        <f>IFERROR(IF(AND(AB48=0,AK48&gt;0),10%,MIN((AK48/AJ48)*0.1,10%)),0)</f>
        <v>0.1</v>
      </c>
      <c r="AR48" s="77">
        <f t="shared" si="69"/>
        <v>0.1</v>
      </c>
      <c r="AS48" s="76">
        <f>IFERROR(AN48+AO48+AP48+AQ48+AR48,0)</f>
        <v>0.48333333333333328</v>
      </c>
      <c r="AT48" s="19" t="str" cm="1">
        <f t="array" ref="AT48">_xlfn.IFS(AS48&lt;60%,"C",AS48&gt;=60%,"B",AS48&gt;=80,"A")</f>
        <v>C</v>
      </c>
      <c r="AU48" s="27" cm="1">
        <f t="array" ref="AU48">_xlfn.IFS(AS48&gt;=80%,0.05,AS48&gt;=60%,0.03,AS48&lt;60%,0)</f>
        <v>0</v>
      </c>
      <c r="AV48" s="164"/>
      <c r="AW48" s="167"/>
      <c r="AX48" s="167"/>
    </row>
    <row r="49" spans="1:50">
      <c r="A49" s="161"/>
      <c r="B49" s="10" t="s">
        <v>63</v>
      </c>
      <c r="C49" s="41"/>
      <c r="D49" s="42"/>
      <c r="E49" s="42"/>
      <c r="F49" s="42"/>
      <c r="G49" s="42"/>
      <c r="H49" s="42"/>
      <c r="I49" s="133">
        <v>342819</v>
      </c>
      <c r="J49" s="130"/>
      <c r="K49" s="127"/>
      <c r="L49" s="127"/>
      <c r="M49" s="127"/>
      <c r="N49" s="127"/>
      <c r="O49" s="127"/>
      <c r="P49" s="42"/>
      <c r="Q49" s="134"/>
      <c r="R49" s="128"/>
      <c r="S49" s="42"/>
      <c r="T49" s="42"/>
      <c r="U49" s="42">
        <v>1</v>
      </c>
      <c r="V49" s="42">
        <v>2</v>
      </c>
      <c r="W49" s="42"/>
      <c r="X49" s="42"/>
      <c r="Y49" s="133">
        <v>5637031</v>
      </c>
      <c r="Z49" s="42">
        <v>1</v>
      </c>
      <c r="AA49" s="90">
        <v>2</v>
      </c>
      <c r="AB49" s="95">
        <f t="shared" si="54"/>
        <v>1</v>
      </c>
      <c r="AC49" s="66">
        <v>110427237</v>
      </c>
      <c r="AD49" s="90">
        <f>IF(AB49&lt;7,3,AB49)</f>
        <v>3</v>
      </c>
      <c r="AE49" s="19">
        <f t="shared" si="55"/>
        <v>2</v>
      </c>
      <c r="AF49" s="90">
        <v>1</v>
      </c>
      <c r="AG49" s="19">
        <f t="shared" si="56"/>
        <v>0</v>
      </c>
      <c r="AH49" s="90">
        <f t="shared" si="57"/>
        <v>1</v>
      </c>
      <c r="AI49" s="19">
        <f t="shared" si="58"/>
        <v>0</v>
      </c>
      <c r="AJ49" s="100">
        <f t="shared" ref="AJ49" si="70">AC49*0.08</f>
        <v>8834178.9600000009</v>
      </c>
      <c r="AK49" s="103">
        <f t="shared" si="66"/>
        <v>5979850</v>
      </c>
      <c r="AL49" s="19">
        <f t="shared" si="60"/>
        <v>1</v>
      </c>
      <c r="AM49" s="95">
        <f t="shared" si="61"/>
        <v>1</v>
      </c>
      <c r="AN49" s="27">
        <f t="shared" si="67"/>
        <v>0.25</v>
      </c>
      <c r="AO49" s="76">
        <f>IFERROR(
   IF(AND(AG49&lt;1,AE49&gt;=AD49),
      0.174,
      MIN(((AG49+AE49)/AD49)*0.2,20%)
   ),
   0
)</f>
        <v>0.13333333333333333</v>
      </c>
      <c r="AP49" s="76">
        <f t="shared" si="68"/>
        <v>0</v>
      </c>
      <c r="AQ49" s="76">
        <f>IFERROR(IF(AND(AB49=0,AK49&gt;0),10%,MIN((AK49/AJ49)*0.1,10%)),0)</f>
        <v>6.7689935047455727E-2</v>
      </c>
      <c r="AR49" s="77">
        <f t="shared" si="69"/>
        <v>0.1</v>
      </c>
      <c r="AS49" s="76">
        <f>IFERROR(AN49+AO49+AP49+AQ49+AR49,0)</f>
        <v>0.55102326838078908</v>
      </c>
      <c r="AT49" s="19" t="str" cm="1">
        <f t="array" ref="AT49">_xlfn.IFS(AS49&lt;60%,"C",AS49&gt;=60%,"B",AS49&gt;=80,"A")</f>
        <v>C</v>
      </c>
      <c r="AU49" s="27" cm="1">
        <f t="array" ref="AU49">_xlfn.IFS(AS49&gt;=80%,0.05,AS49&gt;=60%,0.03,AS49&lt;60%,0)</f>
        <v>0</v>
      </c>
      <c r="AV49" s="164"/>
      <c r="AW49" s="167"/>
      <c r="AX49" s="167"/>
    </row>
    <row r="50" spans="1:50">
      <c r="A50" s="161"/>
      <c r="B50" s="10" t="s">
        <v>50</v>
      </c>
      <c r="C50" s="42"/>
      <c r="D50" s="42"/>
      <c r="E50" s="42"/>
      <c r="F50" s="42"/>
      <c r="G50" s="42"/>
      <c r="H50" s="42"/>
      <c r="I50" s="133">
        <v>8318530</v>
      </c>
      <c r="J50" s="42"/>
      <c r="K50" s="126"/>
      <c r="L50" s="127"/>
      <c r="M50" s="127"/>
      <c r="N50" s="127"/>
      <c r="O50" s="127"/>
      <c r="P50" s="42"/>
      <c r="Q50" s="133">
        <v>4228392</v>
      </c>
      <c r="R50" s="127"/>
      <c r="S50" s="41"/>
      <c r="T50" s="42">
        <v>1</v>
      </c>
      <c r="U50" s="42"/>
      <c r="V50" s="42"/>
      <c r="W50" s="42">
        <v>1</v>
      </c>
      <c r="X50" s="42"/>
      <c r="Y50" s="133">
        <v>14114797</v>
      </c>
      <c r="Z50" s="120">
        <v>1</v>
      </c>
      <c r="AA50" s="90">
        <v>4</v>
      </c>
      <c r="AB50" s="95">
        <f t="shared" si="54"/>
        <v>1</v>
      </c>
      <c r="AC50" s="109">
        <v>71116991</v>
      </c>
      <c r="AD50" s="90">
        <f>IF(AB50&lt;7,3,AB50)</f>
        <v>3</v>
      </c>
      <c r="AE50" s="19">
        <f t="shared" si="55"/>
        <v>0</v>
      </c>
      <c r="AF50" s="90">
        <v>1</v>
      </c>
      <c r="AG50" s="19">
        <f t="shared" si="56"/>
        <v>1</v>
      </c>
      <c r="AH50" s="90">
        <f t="shared" si="57"/>
        <v>1</v>
      </c>
      <c r="AI50" s="19">
        <f t="shared" si="58"/>
        <v>0</v>
      </c>
      <c r="AJ50" s="100">
        <f>AC50*0.08</f>
        <v>5689359.2800000003</v>
      </c>
      <c r="AK50" s="103">
        <f t="shared" si="66"/>
        <v>26661719</v>
      </c>
      <c r="AL50" s="19">
        <f t="shared" si="60"/>
        <v>1</v>
      </c>
      <c r="AM50" s="95">
        <f t="shared" si="61"/>
        <v>1</v>
      </c>
      <c r="AN50" s="27">
        <f t="shared" si="67"/>
        <v>0.125</v>
      </c>
      <c r="AO50" s="76">
        <f>IFERROR(
   IF(AND(AG50&lt;1,AE50&gt;=AD50),
      0.174,
      MIN(((AG50+AE50)/AD50)*0.2,20%)
   ),
   0
)</f>
        <v>6.6666666666666666E-2</v>
      </c>
      <c r="AP50" s="76">
        <f t="shared" si="68"/>
        <v>0</v>
      </c>
      <c r="AQ50" s="76">
        <f>IFERROR(IF(AND(AB50=0,AK50&gt;0),10%,MIN((AK50/AJ50)*0.1,10%)),0)</f>
        <v>0.1</v>
      </c>
      <c r="AR50" s="77">
        <f t="shared" si="69"/>
        <v>0.1</v>
      </c>
      <c r="AS50" s="76">
        <f>IFERROR(AN50+AO50+AP50+AQ50+AR50,0)</f>
        <v>0.39166666666666661</v>
      </c>
      <c r="AT50" s="19" t="str" cm="1">
        <f t="array" ref="AT50">_xlfn.IFS(AS50&lt;60%,"C",AS50&gt;=60%,"B",AS50&gt;=80,"A")</f>
        <v>C</v>
      </c>
      <c r="AU50" s="27" cm="1">
        <f t="array" ref="AU50">_xlfn.IFS(AS50&gt;=80%,0.05,AS50&gt;=60%,0.03,AS50&lt;60%,0)</f>
        <v>0</v>
      </c>
      <c r="AV50" s="164"/>
      <c r="AW50" s="167"/>
      <c r="AX50" s="167"/>
    </row>
    <row r="51" spans="1:50">
      <c r="A51" s="161"/>
      <c r="B51" s="10" t="s">
        <v>64</v>
      </c>
      <c r="C51" s="42"/>
      <c r="D51" s="42"/>
      <c r="E51" s="42"/>
      <c r="F51" s="42"/>
      <c r="G51" s="42"/>
      <c r="H51" s="42"/>
      <c r="I51" s="134"/>
      <c r="J51" s="42"/>
      <c r="K51" s="126"/>
      <c r="L51" s="127"/>
      <c r="M51" s="127"/>
      <c r="N51" s="127"/>
      <c r="O51" s="127"/>
      <c r="P51" s="42"/>
      <c r="Q51" s="134"/>
      <c r="R51" s="127"/>
      <c r="S51" s="41"/>
      <c r="T51" s="42"/>
      <c r="U51" s="42"/>
      <c r="V51" s="42">
        <v>4</v>
      </c>
      <c r="W51" s="42">
        <v>1</v>
      </c>
      <c r="X51" s="42"/>
      <c r="Y51" s="133"/>
      <c r="Z51" s="42"/>
      <c r="AA51" s="90">
        <v>2</v>
      </c>
      <c r="AB51" s="95">
        <f t="shared" si="54"/>
        <v>0</v>
      </c>
      <c r="AC51" s="66"/>
      <c r="AD51" s="90">
        <f>IF(AB51&lt;7,3,AB51)</f>
        <v>3</v>
      </c>
      <c r="AE51" s="19">
        <f t="shared" si="55"/>
        <v>4</v>
      </c>
      <c r="AF51" s="90">
        <v>1</v>
      </c>
      <c r="AG51" s="19">
        <f t="shared" si="56"/>
        <v>1</v>
      </c>
      <c r="AH51" s="90">
        <f t="shared" si="57"/>
        <v>0</v>
      </c>
      <c r="AI51" s="19">
        <f t="shared" si="58"/>
        <v>0</v>
      </c>
      <c r="AJ51" s="101">
        <f t="shared" ref="AJ51" si="71">AC51*0.08</f>
        <v>0</v>
      </c>
      <c r="AK51" s="103">
        <f t="shared" si="66"/>
        <v>0</v>
      </c>
      <c r="AL51" s="19">
        <f t="shared" si="60"/>
        <v>0</v>
      </c>
      <c r="AM51" s="95">
        <f t="shared" si="61"/>
        <v>0</v>
      </c>
      <c r="AN51" s="27">
        <f t="shared" si="67"/>
        <v>0</v>
      </c>
      <c r="AO51" s="76">
        <f>IFERROR(
   IF(AND(AG51&lt;1,AE51&gt;=AD51),
      0.174,
      MIN(((AG51+AE51)/AD51)*0.2,20%)
   ),
   0
)</f>
        <v>0.2</v>
      </c>
      <c r="AP51" s="76">
        <f t="shared" si="68"/>
        <v>0.1</v>
      </c>
      <c r="AQ51" s="76">
        <f>IFERROR(IF(AND(AB51=0,AK51&gt;0),10%,MIN((AK51/AJ51)*0.1,10%)),0)</f>
        <v>0</v>
      </c>
      <c r="AR51" s="77">
        <f t="shared" si="69"/>
        <v>0.1</v>
      </c>
      <c r="AS51" s="76">
        <f>IFERROR(AN51+AO51+AP51+AQ51+AR51,0)</f>
        <v>0.4</v>
      </c>
      <c r="AT51" s="19" t="str" cm="1">
        <f t="array" ref="AT51">_xlfn.IFS(AS51&lt;60%,"C",AS51&gt;=60%,"B",AS51&gt;=80,"A")</f>
        <v>C</v>
      </c>
      <c r="AU51" s="27" cm="1">
        <f t="array" ref="AU51">_xlfn.IFS(AS51&gt;=80%,0.05,AS51&gt;=60%,0.03,AS51&lt;60%,0)</f>
        <v>0</v>
      </c>
      <c r="AV51" s="164"/>
      <c r="AW51" s="167"/>
      <c r="AX51" s="167"/>
    </row>
    <row r="52" spans="1:50">
      <c r="A52" s="161"/>
      <c r="B52" s="10" t="s">
        <v>66</v>
      </c>
      <c r="C52" s="42"/>
      <c r="D52" s="42"/>
      <c r="E52" s="42"/>
      <c r="F52" s="42"/>
      <c r="G52" s="42"/>
      <c r="H52" s="42"/>
      <c r="I52" s="134"/>
      <c r="J52" s="42"/>
      <c r="K52" s="126"/>
      <c r="L52" s="127">
        <v>1</v>
      </c>
      <c r="M52" s="127"/>
      <c r="N52" s="127"/>
      <c r="O52" s="127"/>
      <c r="P52" s="42"/>
      <c r="Q52" s="134"/>
      <c r="R52" s="127"/>
      <c r="S52" s="41"/>
      <c r="T52" s="42"/>
      <c r="U52" s="42">
        <v>1</v>
      </c>
      <c r="V52" s="42">
        <v>4</v>
      </c>
      <c r="W52" s="42">
        <v>1</v>
      </c>
      <c r="X52" s="42">
        <v>4</v>
      </c>
      <c r="Y52" s="133">
        <v>881487</v>
      </c>
      <c r="Z52" s="42"/>
      <c r="AA52" s="90">
        <v>4</v>
      </c>
      <c r="AB52" s="95">
        <f t="shared" si="54"/>
        <v>2</v>
      </c>
      <c r="AC52" s="117">
        <f>71340492+92428754</f>
        <v>163769246</v>
      </c>
      <c r="AD52" s="90">
        <f>IF(AB52&lt;7,3,AB52)</f>
        <v>3</v>
      </c>
      <c r="AE52" s="19">
        <f t="shared" si="55"/>
        <v>4</v>
      </c>
      <c r="AF52" s="90">
        <v>1</v>
      </c>
      <c r="AG52" s="19">
        <f>G52+O52+W52</f>
        <v>1</v>
      </c>
      <c r="AH52" s="90">
        <f t="shared" si="57"/>
        <v>2</v>
      </c>
      <c r="AI52" s="19">
        <f t="shared" si="58"/>
        <v>4</v>
      </c>
      <c r="AJ52" s="101">
        <f>AC52*0.08</f>
        <v>13101539.68</v>
      </c>
      <c r="AK52" s="103">
        <f t="shared" si="66"/>
        <v>881487</v>
      </c>
      <c r="AL52" s="19">
        <f t="shared" si="60"/>
        <v>2</v>
      </c>
      <c r="AM52" s="95">
        <v>2</v>
      </c>
      <c r="AN52" s="27">
        <f t="shared" si="67"/>
        <v>0.25</v>
      </c>
      <c r="AO52" s="76">
        <f>IFERROR(
   IF(AND(AG52&lt;1,AE52&gt;=AD52),
      0.174,
      MIN(((AG52+AE52)/AD52)*0.2,20%)
   ),
   0
)</f>
        <v>0.2</v>
      </c>
      <c r="AP52" s="76">
        <f t="shared" si="68"/>
        <v>0.2</v>
      </c>
      <c r="AQ52" s="76">
        <f>IFERROR(IF(AND(AB52=0,AK52&gt;0),10%,MIN((AK52/AJ52)*0.1,10%)),0)</f>
        <v>6.7281176222793379E-3</v>
      </c>
      <c r="AR52" s="77">
        <f t="shared" si="69"/>
        <v>0.1</v>
      </c>
      <c r="AS52" s="76">
        <f>IFERROR(AN52+AO52+AP52+AQ52+AR52,0)</f>
        <v>0.75672811762227932</v>
      </c>
      <c r="AT52" s="19" t="str" cm="1">
        <f t="array" ref="AT52">_xlfn.IFS(AS52&lt;60%,"C",AS52&gt;=60%,"B",AS52&gt;=80,"A")</f>
        <v>B</v>
      </c>
      <c r="AU52" s="27" cm="1">
        <f t="array" ref="AU52">_xlfn.IFS(AS52&gt;=80%,0.05,AS52&gt;=60%,0.03,AS52&lt;60%,0)</f>
        <v>0.03</v>
      </c>
      <c r="AV52" s="164"/>
      <c r="AW52" s="167"/>
      <c r="AX52" s="167"/>
    </row>
    <row r="53" spans="1:50">
      <c r="A53" s="162"/>
      <c r="B53" s="10" t="s">
        <v>53</v>
      </c>
      <c r="C53" s="42">
        <v>2</v>
      </c>
      <c r="D53" s="42"/>
      <c r="E53" s="42"/>
      <c r="F53" s="42"/>
      <c r="G53" s="42"/>
      <c r="H53" s="42"/>
      <c r="I53" s="133">
        <v>7044828</v>
      </c>
      <c r="J53" s="42"/>
      <c r="K53" s="126"/>
      <c r="L53" s="127"/>
      <c r="M53" s="127"/>
      <c r="N53" s="127"/>
      <c r="O53" s="127"/>
      <c r="P53" s="42"/>
      <c r="Q53" s="133">
        <v>2177603</v>
      </c>
      <c r="R53" s="127"/>
      <c r="S53" s="41"/>
      <c r="T53" s="42"/>
      <c r="U53" s="42"/>
      <c r="V53" s="42"/>
      <c r="W53" s="42"/>
      <c r="X53" s="42"/>
      <c r="Y53" s="133">
        <v>964361</v>
      </c>
      <c r="Z53" s="120">
        <v>2</v>
      </c>
      <c r="AA53" s="118">
        <v>3</v>
      </c>
      <c r="AB53" s="119">
        <f t="shared" si="54"/>
        <v>2</v>
      </c>
      <c r="AC53" s="117">
        <v>105274091</v>
      </c>
      <c r="AD53" s="118">
        <f>IF(AB53&lt;7,3,AB53)</f>
        <v>3</v>
      </c>
      <c r="AE53" s="137">
        <f t="shared" si="55"/>
        <v>0</v>
      </c>
      <c r="AF53" s="118">
        <v>1</v>
      </c>
      <c r="AG53" s="137">
        <f t="shared" ref="AG53" si="72">G53+O53+W53</f>
        <v>0</v>
      </c>
      <c r="AH53" s="118">
        <f t="shared" si="57"/>
        <v>2</v>
      </c>
      <c r="AI53" s="137">
        <f t="shared" si="58"/>
        <v>0</v>
      </c>
      <c r="AJ53" s="101">
        <f t="shared" ref="AJ53" si="73">AC53*0.08</f>
        <v>8421927.2799999993</v>
      </c>
      <c r="AK53" s="103">
        <f t="shared" si="66"/>
        <v>10186792</v>
      </c>
      <c r="AL53" s="19">
        <f t="shared" si="60"/>
        <v>2</v>
      </c>
      <c r="AM53" s="95">
        <f t="shared" ref="AM53" si="74">J53+R53+Z53</f>
        <v>2</v>
      </c>
      <c r="AN53" s="27">
        <f t="shared" si="67"/>
        <v>0.33333333333333331</v>
      </c>
      <c r="AO53" s="76">
        <f>IFERROR(
   IF(AND(AG53&lt;1,AE53&gt;=AD53),
      0.174,
      MIN(((AG53+AE53)/AD53)*0.2,20%)
   ),
   0
)</f>
        <v>0</v>
      </c>
      <c r="AP53" s="76">
        <f t="shared" si="68"/>
        <v>0</v>
      </c>
      <c r="AQ53" s="76">
        <f>IFERROR(IF(AND(AB53=0,AK53&gt;0),10%,MIN((AK53/AJ53)*0.1,10%)),0)</f>
        <v>0.1</v>
      </c>
      <c r="AR53" s="77">
        <f t="shared" si="69"/>
        <v>0.1</v>
      </c>
      <c r="AS53" s="76">
        <f>IFERROR(AN53+AO53+AP53+AQ53+AR53,0)</f>
        <v>0.53333333333333333</v>
      </c>
      <c r="AT53" s="19" t="str" cm="1">
        <f t="array" ref="AT53">_xlfn.IFS(AS53&lt;60%,"C",AS53&gt;=60%,"B",AS53&gt;=80,"A")</f>
        <v>C</v>
      </c>
      <c r="AU53" s="27" cm="1">
        <f t="array" ref="AU53">_xlfn.IFS(AS53&gt;=80%,0.05,AS53&gt;=60%,0.03,AS53&lt;60%,0)</f>
        <v>0</v>
      </c>
      <c r="AV53" s="165"/>
      <c r="AW53" s="168"/>
      <c r="AX53" s="168"/>
    </row>
  </sheetData>
  <sheetProtection sheet="1" objects="1" scenarios="1"/>
  <protectedRanges>
    <protectedRange sqref="F4:H24 F33:H53" name="Rango1"/>
    <protectedRange sqref="J4:J24 J33:J53" name="Rango2"/>
    <protectedRange sqref="N4:P24 N33:P53" name="Rango3"/>
    <protectedRange sqref="R4:R24 R33:R53" name="Rango4"/>
    <protectedRange sqref="V4:X24 V33:X53" name="Rango5"/>
    <protectedRange sqref="Z4:Z24 Z33:Z53" name="Rango6"/>
  </protectedRanges>
  <mergeCells count="121">
    <mergeCell ref="AW34:AW43"/>
    <mergeCell ref="AX34:AX43"/>
    <mergeCell ref="A44:A53"/>
    <mergeCell ref="AV44:AV53"/>
    <mergeCell ref="AW44:AW53"/>
    <mergeCell ref="AX44:AX53"/>
    <mergeCell ref="AT31:AT32"/>
    <mergeCell ref="AU31:AU32"/>
    <mergeCell ref="AV31:AV33"/>
    <mergeCell ref="AW31:AW33"/>
    <mergeCell ref="AX31:AX33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AE31:AE32"/>
    <mergeCell ref="AH31:AH32"/>
    <mergeCell ref="AI31:AI32"/>
    <mergeCell ref="Z31:Z32"/>
    <mergeCell ref="AA31:AA32"/>
    <mergeCell ref="AB31:AB32"/>
    <mergeCell ref="AC31:AC32"/>
    <mergeCell ref="AD31:AD32"/>
    <mergeCell ref="A34:A43"/>
    <mergeCell ref="AV34:AV43"/>
    <mergeCell ref="A31:A32"/>
    <mergeCell ref="B31:B32"/>
    <mergeCell ref="C31:E31"/>
    <mergeCell ref="F31:F32"/>
    <mergeCell ref="G31:G32"/>
    <mergeCell ref="H31:H32"/>
    <mergeCell ref="I31:I32"/>
    <mergeCell ref="J31:J32"/>
    <mergeCell ref="K31:M31"/>
    <mergeCell ref="AX5:AX14"/>
    <mergeCell ref="AW15:AW24"/>
    <mergeCell ref="AX15:AX24"/>
    <mergeCell ref="AV15:AV24"/>
    <mergeCell ref="C26:E26"/>
    <mergeCell ref="K26:M26"/>
    <mergeCell ref="S26:U26"/>
    <mergeCell ref="S31:U31"/>
    <mergeCell ref="V31:V32"/>
    <mergeCell ref="W31:W32"/>
    <mergeCell ref="X31:X32"/>
    <mergeCell ref="Y31:Y32"/>
    <mergeCell ref="AS30:AU30"/>
    <mergeCell ref="AV30:AX30"/>
    <mergeCell ref="N31:N32"/>
    <mergeCell ref="O31:O32"/>
    <mergeCell ref="P31:P32"/>
    <mergeCell ref="Q31:Q32"/>
    <mergeCell ref="R31:R32"/>
    <mergeCell ref="C30:J30"/>
    <mergeCell ref="K30:R30"/>
    <mergeCell ref="S30:Z30"/>
    <mergeCell ref="AF31:AF32"/>
    <mergeCell ref="AG31:AG32"/>
    <mergeCell ref="AM2:AM3"/>
    <mergeCell ref="AN2:AN3"/>
    <mergeCell ref="AO2:AO3"/>
    <mergeCell ref="X2:X3"/>
    <mergeCell ref="Y2:Y3"/>
    <mergeCell ref="AA30:AM30"/>
    <mergeCell ref="AN30:AR30"/>
    <mergeCell ref="AV5:AV14"/>
    <mergeCell ref="AW5:AW14"/>
    <mergeCell ref="A2:A3"/>
    <mergeCell ref="B2:B3"/>
    <mergeCell ref="C2:E2"/>
    <mergeCell ref="F2:F3"/>
    <mergeCell ref="G2:G3"/>
    <mergeCell ref="A5:A14"/>
    <mergeCell ref="A15:A24"/>
    <mergeCell ref="AW2:AW4"/>
    <mergeCell ref="AX2:AX4"/>
    <mergeCell ref="AQ2:AQ3"/>
    <mergeCell ref="AR2:AR3"/>
    <mergeCell ref="AS2:AS3"/>
    <mergeCell ref="AT2:AT3"/>
    <mergeCell ref="AU2:AU3"/>
    <mergeCell ref="AC2:AC3"/>
    <mergeCell ref="AP2:AP3"/>
    <mergeCell ref="AE2:AE3"/>
    <mergeCell ref="AF2:AF3"/>
    <mergeCell ref="AG2:AG3"/>
    <mergeCell ref="AH2:AH3"/>
    <mergeCell ref="AI2:AI3"/>
    <mergeCell ref="AJ2:AJ3"/>
    <mergeCell ref="AK2:AK3"/>
    <mergeCell ref="AL2:AL3"/>
    <mergeCell ref="AV1:AX1"/>
    <mergeCell ref="AV2:AV4"/>
    <mergeCell ref="AS1:AU1"/>
    <mergeCell ref="C1:J1"/>
    <mergeCell ref="K1:R1"/>
    <mergeCell ref="S1:Z1"/>
    <mergeCell ref="AA1:AM1"/>
    <mergeCell ref="AN1:AR1"/>
    <mergeCell ref="P2:P3"/>
    <mergeCell ref="H2:H3"/>
    <mergeCell ref="I2:I3"/>
    <mergeCell ref="J2:J3"/>
    <mergeCell ref="K2:M2"/>
    <mergeCell ref="N2:N3"/>
    <mergeCell ref="O2:O3"/>
    <mergeCell ref="AD2:AD3"/>
    <mergeCell ref="Z2:Z3"/>
    <mergeCell ref="AA2:AA3"/>
    <mergeCell ref="AB2:AB3"/>
    <mergeCell ref="Q2:Q3"/>
    <mergeCell ref="R2:R3"/>
    <mergeCell ref="S2:U2"/>
    <mergeCell ref="V2:V3"/>
    <mergeCell ref="W2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18A8-2E9C-4BFB-9884-4DEBFA131A68}">
  <dimension ref="A1:AY36"/>
  <sheetViews>
    <sheetView tabSelected="1" workbookViewId="0">
      <pane xSplit="2" ySplit="3" topLeftCell="T4" activePane="bottomRight" state="frozen"/>
      <selection pane="bottomRight" activeCell="AA23" sqref="AA23"/>
      <selection pane="bottomLeft"/>
      <selection pane="topRight"/>
    </sheetView>
  </sheetViews>
  <sheetFormatPr defaultRowHeight="15"/>
  <cols>
    <col min="1" max="1" width="21.28515625" hidden="1" customWidth="1"/>
    <col min="2" max="2" width="20.85546875" bestFit="1" customWidth="1"/>
    <col min="3" max="3" width="7" customWidth="1"/>
    <col min="4" max="5" width="5.140625" bestFit="1" customWidth="1"/>
    <col min="7" max="7" width="9.28515625" bestFit="1" customWidth="1"/>
    <col min="8" max="8" width="9.28515625" customWidth="1"/>
    <col min="9" max="9" width="14" customWidth="1"/>
    <col min="10" max="10" width="14.28515625" customWidth="1"/>
    <col min="11" max="13" width="5.140625" bestFit="1" customWidth="1"/>
    <col min="16" max="16" width="11" customWidth="1"/>
    <col min="17" max="17" width="12.85546875" customWidth="1"/>
    <col min="18" max="18" width="13.7109375" customWidth="1"/>
    <col min="19" max="19" width="5.140625" bestFit="1" customWidth="1"/>
    <col min="20" max="20" width="5.140625" style="1" customWidth="1"/>
    <col min="21" max="22" width="5.140625" bestFit="1" customWidth="1"/>
    <col min="26" max="26" width="17.5703125" bestFit="1" customWidth="1"/>
    <col min="27" max="27" width="13.140625" customWidth="1"/>
    <col min="28" max="28" width="9.85546875" style="21" customWidth="1"/>
    <col min="29" max="29" width="9.28515625" style="21" customWidth="1"/>
    <col min="30" max="30" width="16.42578125" style="21" bestFit="1" customWidth="1"/>
    <col min="31" max="31" width="8.5703125" style="21" customWidth="1"/>
    <col min="32" max="32" width="9.7109375" style="21" customWidth="1"/>
    <col min="33" max="33" width="9.140625" style="21"/>
    <col min="34" max="34" width="9.42578125" style="21" customWidth="1"/>
    <col min="35" max="35" width="12.7109375" style="21" customWidth="1"/>
    <col min="36" max="36" width="14.28515625" style="21" customWidth="1"/>
    <col min="37" max="37" width="15.7109375" style="21" customWidth="1"/>
    <col min="38" max="38" width="17.140625" style="1" bestFit="1" customWidth="1"/>
    <col min="39" max="39" width="13.42578125" style="21" customWidth="1"/>
    <col min="40" max="40" width="14" style="1" customWidth="1"/>
    <col min="41" max="41" width="10.5703125" style="21" customWidth="1"/>
    <col min="42" max="42" width="10.42578125" style="1" customWidth="1"/>
    <col min="43" max="44" width="10.85546875" style="1" customWidth="1"/>
    <col min="45" max="45" width="10" style="1" customWidth="1"/>
    <col min="46" max="46" width="12.85546875" style="21" customWidth="1"/>
    <col min="47" max="47" width="10.85546875" style="1" customWidth="1"/>
    <col min="48" max="48" width="9.5703125" style="1" customWidth="1"/>
    <col min="49" max="49" width="14.85546875" customWidth="1"/>
    <col min="50" max="50" width="17.85546875" hidden="1" customWidth="1"/>
    <col min="51" max="51" width="19.5703125" hidden="1" customWidth="1"/>
  </cols>
  <sheetData>
    <row r="1" spans="1:51">
      <c r="A1" s="13"/>
      <c r="B1" s="13"/>
      <c r="C1" s="191" t="s">
        <v>74</v>
      </c>
      <c r="D1" s="192"/>
      <c r="E1" s="192"/>
      <c r="F1" s="192"/>
      <c r="G1" s="192"/>
      <c r="H1" s="192"/>
      <c r="I1" s="192"/>
      <c r="J1" s="193"/>
      <c r="K1" s="194" t="s">
        <v>75</v>
      </c>
      <c r="L1" s="194"/>
      <c r="M1" s="194"/>
      <c r="N1" s="194"/>
      <c r="O1" s="194"/>
      <c r="P1" s="194"/>
      <c r="Q1" s="194"/>
      <c r="R1" s="195"/>
      <c r="S1" s="205" t="s">
        <v>76</v>
      </c>
      <c r="T1" s="205"/>
      <c r="U1" s="205"/>
      <c r="V1" s="205"/>
      <c r="W1" s="205"/>
      <c r="X1" s="205"/>
      <c r="Y1" s="205"/>
      <c r="Z1" s="205"/>
      <c r="AA1" s="206"/>
      <c r="AB1" s="207" t="s">
        <v>3</v>
      </c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8"/>
      <c r="AO1" s="185" t="s">
        <v>4</v>
      </c>
      <c r="AP1" s="185"/>
      <c r="AQ1" s="185"/>
      <c r="AR1" s="185"/>
      <c r="AS1" s="200"/>
      <c r="AT1" s="201" t="s">
        <v>5</v>
      </c>
      <c r="AU1" s="201"/>
      <c r="AV1" s="202"/>
      <c r="AW1" s="203" t="s">
        <v>71</v>
      </c>
      <c r="AX1" s="204"/>
      <c r="AY1" s="204"/>
    </row>
    <row r="2" spans="1:51" s="1" customFormat="1" ht="30.75" customHeight="1">
      <c r="A2" s="196" t="s">
        <v>9</v>
      </c>
      <c r="B2" s="197" t="s">
        <v>10</v>
      </c>
      <c r="C2" s="198" t="s">
        <v>11</v>
      </c>
      <c r="D2" s="199"/>
      <c r="E2" s="199"/>
      <c r="F2" s="199" t="s">
        <v>12</v>
      </c>
      <c r="G2" s="199" t="s">
        <v>13</v>
      </c>
      <c r="H2" s="188" t="s">
        <v>14</v>
      </c>
      <c r="I2" s="189" t="s">
        <v>15</v>
      </c>
      <c r="J2" s="190" t="s">
        <v>16</v>
      </c>
      <c r="K2" s="185" t="s">
        <v>11</v>
      </c>
      <c r="L2" s="185"/>
      <c r="M2" s="185"/>
      <c r="N2" s="185" t="s">
        <v>12</v>
      </c>
      <c r="O2" s="185" t="s">
        <v>13</v>
      </c>
      <c r="P2" s="184" t="s">
        <v>14</v>
      </c>
      <c r="Q2" s="184" t="s">
        <v>15</v>
      </c>
      <c r="R2" s="187" t="s">
        <v>16</v>
      </c>
      <c r="S2" s="182" t="s">
        <v>11</v>
      </c>
      <c r="T2" s="182"/>
      <c r="U2" s="182"/>
      <c r="V2" s="182"/>
      <c r="W2" s="182" t="s">
        <v>12</v>
      </c>
      <c r="X2" s="182" t="s">
        <v>13</v>
      </c>
      <c r="Y2" s="183" t="s">
        <v>14</v>
      </c>
      <c r="Z2" s="183" t="s">
        <v>15</v>
      </c>
      <c r="AA2" s="210" t="s">
        <v>16</v>
      </c>
      <c r="AB2" s="177" t="s">
        <v>17</v>
      </c>
      <c r="AC2" s="177" t="s">
        <v>18</v>
      </c>
      <c r="AD2" s="178" t="s">
        <v>19</v>
      </c>
      <c r="AE2" s="177" t="s">
        <v>20</v>
      </c>
      <c r="AF2" s="177" t="s">
        <v>21</v>
      </c>
      <c r="AG2" s="177" t="s">
        <v>22</v>
      </c>
      <c r="AH2" s="177" t="s">
        <v>23</v>
      </c>
      <c r="AI2" s="177" t="s">
        <v>24</v>
      </c>
      <c r="AJ2" s="177" t="s">
        <v>25</v>
      </c>
      <c r="AK2" s="177" t="s">
        <v>26</v>
      </c>
      <c r="AL2" s="209" t="s">
        <v>27</v>
      </c>
      <c r="AM2" s="177" t="s">
        <v>28</v>
      </c>
      <c r="AN2" s="176" t="s">
        <v>29</v>
      </c>
      <c r="AO2" s="184" t="s">
        <v>30</v>
      </c>
      <c r="AP2" s="184" t="s">
        <v>31</v>
      </c>
      <c r="AQ2" s="184" t="s">
        <v>32</v>
      </c>
      <c r="AR2" s="186" t="s">
        <v>33</v>
      </c>
      <c r="AS2" s="187" t="s">
        <v>34</v>
      </c>
      <c r="AT2" s="180" t="s">
        <v>35</v>
      </c>
      <c r="AU2" s="180" t="s">
        <v>36</v>
      </c>
      <c r="AV2" s="175" t="s">
        <v>37</v>
      </c>
      <c r="AW2" s="211" t="s">
        <v>57</v>
      </c>
      <c r="AX2" s="213" t="s">
        <v>7</v>
      </c>
      <c r="AY2" s="213" t="s">
        <v>8</v>
      </c>
    </row>
    <row r="3" spans="1:51">
      <c r="A3" s="196"/>
      <c r="B3" s="197"/>
      <c r="C3" s="14" t="s">
        <v>38</v>
      </c>
      <c r="D3" s="15" t="s">
        <v>39</v>
      </c>
      <c r="E3" s="15" t="s">
        <v>40</v>
      </c>
      <c r="F3" s="199"/>
      <c r="G3" s="199"/>
      <c r="H3" s="188"/>
      <c r="I3" s="189"/>
      <c r="J3" s="190"/>
      <c r="K3" s="16" t="s">
        <v>38</v>
      </c>
      <c r="L3" s="16" t="s">
        <v>39</v>
      </c>
      <c r="M3" s="16" t="s">
        <v>40</v>
      </c>
      <c r="N3" s="185"/>
      <c r="O3" s="185"/>
      <c r="P3" s="184"/>
      <c r="Q3" s="184"/>
      <c r="R3" s="187"/>
      <c r="S3" s="17" t="s">
        <v>38</v>
      </c>
      <c r="T3" s="154" t="s">
        <v>77</v>
      </c>
      <c r="U3" s="17" t="s">
        <v>39</v>
      </c>
      <c r="V3" s="17" t="s">
        <v>40</v>
      </c>
      <c r="W3" s="182"/>
      <c r="X3" s="182"/>
      <c r="Y3" s="183"/>
      <c r="Z3" s="183"/>
      <c r="AA3" s="210"/>
      <c r="AB3" s="177"/>
      <c r="AC3" s="177"/>
      <c r="AD3" s="179"/>
      <c r="AE3" s="177"/>
      <c r="AF3" s="177"/>
      <c r="AG3" s="177"/>
      <c r="AH3" s="177"/>
      <c r="AI3" s="177"/>
      <c r="AJ3" s="177"/>
      <c r="AK3" s="177"/>
      <c r="AL3" s="209"/>
      <c r="AM3" s="177"/>
      <c r="AN3" s="176"/>
      <c r="AO3" s="184"/>
      <c r="AP3" s="185"/>
      <c r="AQ3" s="184"/>
      <c r="AR3" s="186"/>
      <c r="AS3" s="187"/>
      <c r="AT3" s="180"/>
      <c r="AU3" s="180"/>
      <c r="AV3" s="175"/>
      <c r="AW3" s="211"/>
      <c r="AX3" s="213"/>
      <c r="AY3" s="213"/>
    </row>
    <row r="4" spans="1:51">
      <c r="A4" s="32"/>
      <c r="B4" s="34" t="s">
        <v>58</v>
      </c>
      <c r="C4" s="37"/>
      <c r="D4" s="38"/>
      <c r="E4" s="38"/>
      <c r="F4" s="31"/>
      <c r="G4" s="31"/>
      <c r="H4" s="32"/>
      <c r="I4" s="57"/>
      <c r="J4" s="33"/>
      <c r="K4" s="79"/>
      <c r="L4" s="38"/>
      <c r="M4" s="79"/>
      <c r="N4" s="31"/>
      <c r="O4" s="31"/>
      <c r="P4" s="32"/>
      <c r="Q4" s="122"/>
      <c r="R4" s="35"/>
      <c r="S4" s="38"/>
      <c r="T4" s="155">
        <v>1</v>
      </c>
      <c r="U4" s="79">
        <v>5</v>
      </c>
      <c r="V4" s="79"/>
      <c r="W4" s="31"/>
      <c r="X4" s="31"/>
      <c r="Y4" s="32"/>
      <c r="Z4" s="135"/>
      <c r="AA4" s="32"/>
      <c r="AB4" s="93"/>
      <c r="AC4" s="93">
        <f>C4+D4+E4+K4+L4+M4+S4+U4+V4+T4</f>
        <v>6</v>
      </c>
      <c r="AD4" s="49"/>
      <c r="AE4" s="98"/>
      <c r="AF4" s="32"/>
      <c r="AG4" s="98"/>
      <c r="AH4" s="32"/>
      <c r="AI4" s="98"/>
      <c r="AJ4" s="32"/>
      <c r="AK4" s="98"/>
      <c r="AL4" s="35"/>
      <c r="AM4" s="32"/>
      <c r="AN4" s="35"/>
      <c r="AO4" s="58"/>
      <c r="AP4" s="59"/>
      <c r="AQ4" s="58"/>
      <c r="AR4" s="60"/>
      <c r="AS4" s="61"/>
      <c r="AT4" s="32"/>
      <c r="AU4" s="32"/>
      <c r="AV4" s="36"/>
      <c r="AW4" s="212"/>
      <c r="AX4" s="213"/>
      <c r="AY4" s="213"/>
    </row>
    <row r="5" spans="1:51" ht="15" customHeight="1">
      <c r="A5" s="169" t="s">
        <v>41</v>
      </c>
      <c r="B5" s="8" t="s">
        <v>42</v>
      </c>
      <c r="C5" s="39"/>
      <c r="D5" s="40">
        <v>2</v>
      </c>
      <c r="E5" s="40"/>
      <c r="F5" s="40"/>
      <c r="G5" s="40"/>
      <c r="H5" s="40"/>
      <c r="I5" s="132">
        <v>3405865</v>
      </c>
      <c r="J5" s="129">
        <v>2</v>
      </c>
      <c r="K5" s="40"/>
      <c r="L5" s="40"/>
      <c r="M5" s="40"/>
      <c r="N5" s="40"/>
      <c r="O5" s="40"/>
      <c r="P5" s="40"/>
      <c r="Q5" s="82">
        <v>888126</v>
      </c>
      <c r="R5" s="125"/>
      <c r="S5" s="40"/>
      <c r="T5" s="18">
        <v>2</v>
      </c>
      <c r="U5" s="40">
        <v>1</v>
      </c>
      <c r="V5" s="40"/>
      <c r="W5" s="40">
        <v>1</v>
      </c>
      <c r="X5" s="40"/>
      <c r="Y5" s="40"/>
      <c r="Z5" s="82"/>
      <c r="AA5" s="40"/>
      <c r="AB5" s="89">
        <v>1</v>
      </c>
      <c r="AC5" s="94">
        <f>C5+D5+E5+K5+L5+M5+S5+U5+V5+T5</f>
        <v>5</v>
      </c>
      <c r="AD5" s="22">
        <f>54705294+70936311+59031995+67834496</f>
        <v>252508096</v>
      </c>
      <c r="AE5" s="89">
        <f>IF(AC5&lt;7,3,AC5)</f>
        <v>3</v>
      </c>
      <c r="AF5" s="18">
        <f>F5+N5+W5</f>
        <v>1</v>
      </c>
      <c r="AG5" s="89">
        <v>1</v>
      </c>
      <c r="AH5" s="18">
        <f>G5+O5+X5</f>
        <v>0</v>
      </c>
      <c r="AI5" s="89">
        <f>AC5</f>
        <v>5</v>
      </c>
      <c r="AJ5" s="18">
        <f>H5+P5+Y5</f>
        <v>0</v>
      </c>
      <c r="AK5" s="99">
        <f>AD5*0.08</f>
        <v>20200647.68</v>
      </c>
      <c r="AL5" s="102">
        <f>I5+Q5+Z5</f>
        <v>4293991</v>
      </c>
      <c r="AM5" s="18">
        <f>AC5</f>
        <v>5</v>
      </c>
      <c r="AN5" s="94">
        <f>J5+R5+AA5</f>
        <v>2</v>
      </c>
      <c r="AO5" s="26">
        <f>IFERROR(IF(AB5=0,50%,MIN((AC5/AB5)*0.5,50%)),0)</f>
        <v>0.5</v>
      </c>
      <c r="AP5" s="29">
        <f>IFERROR(
   IF(AND(AH5&lt;1,AF5&gt;=AE5),
      0.174,
      MIN(((AH5+AF5)/AE5)*0.2,20%)
   ),
   0
)</f>
        <v>6.6666666666666666E-2</v>
      </c>
      <c r="AQ5" s="29">
        <f>IFERROR(IF(AI5=0,10%,MIN((AJ5/AI5)*0.1,10%)),0)</f>
        <v>0</v>
      </c>
      <c r="AR5" s="29">
        <f>IFERROR(IF(AND(AC5=0,AL5&gt;0),10%,MIN((AL5/AK5)*0.1,10%)),0)</f>
        <v>2.1256699626771573E-2</v>
      </c>
      <c r="AS5" s="45">
        <f>IFERROR(IF(AM5=0,10%,MIN((AN5/AM5)*0.1,10%)),0)</f>
        <v>4.0000000000000008E-2</v>
      </c>
      <c r="AT5" s="29">
        <f>IFERROR(AO5+AP5+AQ5+AR5+AS5,0)</f>
        <v>0.62792336629343826</v>
      </c>
      <c r="AU5" s="18" t="str" cm="1">
        <f t="array" ref="AU5">_xlfn.IFS(AT5&lt;60%,"C",AT5&gt;=60%,"B",AT5&gt;=80,"A")</f>
        <v>B</v>
      </c>
      <c r="AV5" s="26" cm="1">
        <f t="array" ref="AV5">_xlfn.IFS(AT5&gt;=80%,0.05,AT5&gt;=60%,0.03,AT5&lt;60%,0)</f>
        <v>0.03</v>
      </c>
      <c r="AW5" s="172">
        <f>AVERAGE(AT5:AT15)</f>
        <v>0.62034014792891012</v>
      </c>
      <c r="AX5" s="158">
        <f>10000*AW5</f>
        <v>6203.4014792891012</v>
      </c>
      <c r="AY5" s="158">
        <f>AX5*216</f>
        <v>1339934.719526446</v>
      </c>
    </row>
    <row r="6" spans="1:51" ht="17.25" customHeight="1">
      <c r="A6" s="170"/>
      <c r="B6" s="9" t="s">
        <v>43</v>
      </c>
      <c r="C6" s="39"/>
      <c r="D6" s="40"/>
      <c r="E6" s="40"/>
      <c r="F6" s="40"/>
      <c r="G6" s="40"/>
      <c r="H6" s="40"/>
      <c r="I6" s="82"/>
      <c r="J6" s="129"/>
      <c r="K6" s="40"/>
      <c r="L6" s="40"/>
      <c r="M6" s="40"/>
      <c r="N6" s="40"/>
      <c r="O6" s="40"/>
      <c r="P6" s="40"/>
      <c r="Q6" s="82">
        <v>633542</v>
      </c>
      <c r="R6" s="125"/>
      <c r="S6" s="40"/>
      <c r="T6" s="18"/>
      <c r="U6" s="40"/>
      <c r="V6" s="40"/>
      <c r="W6" s="40"/>
      <c r="X6" s="40"/>
      <c r="Y6" s="40"/>
      <c r="Z6" s="82">
        <v>835585</v>
      </c>
      <c r="AA6" s="40"/>
      <c r="AB6" s="89">
        <v>1</v>
      </c>
      <c r="AC6" s="94">
        <f>C6+D6+E6+K6+L6+M6+S6+U6+V6+T6</f>
        <v>0</v>
      </c>
      <c r="AD6" s="22"/>
      <c r="AE6" s="89">
        <f>IF(AC6&lt;7,3,AC6)</f>
        <v>3</v>
      </c>
      <c r="AF6" s="18">
        <f>F6+N6+W6</f>
        <v>0</v>
      </c>
      <c r="AG6" s="89">
        <v>1</v>
      </c>
      <c r="AH6" s="18">
        <f>G6+O6+X6</f>
        <v>0</v>
      </c>
      <c r="AI6" s="89">
        <f>AC6</f>
        <v>0</v>
      </c>
      <c r="AJ6" s="18">
        <f>H6+P6+Y6</f>
        <v>0</v>
      </c>
      <c r="AK6" s="99">
        <f t="shared" ref="AK6:AK15" si="0">AD6*0.08</f>
        <v>0</v>
      </c>
      <c r="AL6" s="102">
        <f>I6+Q6+Z6</f>
        <v>1469127</v>
      </c>
      <c r="AM6" s="18">
        <f t="shared" ref="AM6:AM15" si="1">AC6</f>
        <v>0</v>
      </c>
      <c r="AN6" s="94">
        <f>J6+R6+AA6</f>
        <v>0</v>
      </c>
      <c r="AO6" s="26">
        <f>IFERROR(IF(AB6=0,50%,MIN((AC6/AB6)*0.5,50%)),0)</f>
        <v>0</v>
      </c>
      <c r="AP6" s="29">
        <f>IFERROR(
   IF(AND(AH6&lt;1,AF6&gt;=AE6),
      0.174,
      MIN(((AH6+AF6)/AE6)*0.2,20%)
   ),
   0
)</f>
        <v>0</v>
      </c>
      <c r="AQ6" s="29">
        <f>IFERROR(IF(AI6=0,10%,MIN((AJ6/AI6)*0.1,10%)),0)</f>
        <v>0.1</v>
      </c>
      <c r="AR6" s="29">
        <f>IFERROR(IF(AND(AC6=0,AL6&gt;0),10%,MIN((AL6/AK6)*0.1,10%)),0)</f>
        <v>0.1</v>
      </c>
      <c r="AS6" s="45">
        <f>IFERROR(IF(AM6=0,10%,MIN((AN6/AM6)*0.1,10%)),0)</f>
        <v>0.1</v>
      </c>
      <c r="AT6" s="29">
        <f>IFERROR(AO6+AP6+AQ6+AR6+AS6,0)</f>
        <v>0.30000000000000004</v>
      </c>
      <c r="AU6" s="18" t="str" cm="1">
        <f t="array" ref="AU6">_xlfn.IFS(AT6&lt;60%,"C",AT6&gt;=60%,"B",AT6&gt;=80,"A")</f>
        <v>C</v>
      </c>
      <c r="AV6" s="26" cm="1">
        <f t="array" ref="AV6">_xlfn.IFS(AT6&gt;=80%,0.05,AT6&gt;=60%,0.03,AT6&lt;60%,0)</f>
        <v>0</v>
      </c>
      <c r="AW6" s="173"/>
      <c r="AX6" s="159"/>
      <c r="AY6" s="159"/>
    </row>
    <row r="7" spans="1:51">
      <c r="A7" s="170"/>
      <c r="B7" s="8" t="s">
        <v>44</v>
      </c>
      <c r="C7" s="39"/>
      <c r="D7" s="40"/>
      <c r="E7" s="40"/>
      <c r="F7" s="40"/>
      <c r="G7" s="40"/>
      <c r="H7" s="40"/>
      <c r="I7" s="82">
        <v>48820</v>
      </c>
      <c r="J7" s="129"/>
      <c r="K7" s="40"/>
      <c r="L7" s="40"/>
      <c r="M7" s="40"/>
      <c r="N7" s="40"/>
      <c r="O7" s="40"/>
      <c r="P7" s="40"/>
      <c r="Q7" s="82"/>
      <c r="R7" s="125"/>
      <c r="S7" s="40"/>
      <c r="T7" s="18"/>
      <c r="U7" s="40">
        <v>1</v>
      </c>
      <c r="V7" s="40"/>
      <c r="W7" s="40"/>
      <c r="X7" s="40"/>
      <c r="Y7" s="40"/>
      <c r="Z7" s="82">
        <v>234715</v>
      </c>
      <c r="AA7" s="40">
        <v>1</v>
      </c>
      <c r="AB7" s="89">
        <v>1</v>
      </c>
      <c r="AC7" s="94">
        <f>C7+D7+E7+K7+L7+M7+S7+U7+V7+T7</f>
        <v>1</v>
      </c>
      <c r="AD7" s="52">
        <v>66175841</v>
      </c>
      <c r="AE7" s="89">
        <f>IF(AC7&lt;7,3,AC7)</f>
        <v>3</v>
      </c>
      <c r="AF7" s="18">
        <f>F7+N7+W7</f>
        <v>0</v>
      </c>
      <c r="AG7" s="89">
        <v>1</v>
      </c>
      <c r="AH7" s="18">
        <f>G7+O7+X7</f>
        <v>0</v>
      </c>
      <c r="AI7" s="89">
        <f t="shared" ref="AI7:AI10" si="2">AC7</f>
        <v>1</v>
      </c>
      <c r="AJ7" s="18">
        <f>H7+P7+Y7</f>
        <v>0</v>
      </c>
      <c r="AK7" s="99">
        <f t="shared" si="0"/>
        <v>5294067.28</v>
      </c>
      <c r="AL7" s="102">
        <f>I7+Q7+Z7</f>
        <v>283535</v>
      </c>
      <c r="AM7" s="18">
        <f t="shared" si="1"/>
        <v>1</v>
      </c>
      <c r="AN7" s="94">
        <f>J7+R7+AA7</f>
        <v>1</v>
      </c>
      <c r="AO7" s="26">
        <f>IFERROR(IF(AB7=0,50%,MIN((AC7/AB7)*0.5,50%)),0)</f>
        <v>0.5</v>
      </c>
      <c r="AP7" s="29">
        <f>IFERROR(
   IF(AND(AH7&lt;1,AF7&gt;=AE7),
      0.174,
      MIN(((AH7+AF7)/AE7)*0.2,20%)
   ),
   0
)</f>
        <v>0</v>
      </c>
      <c r="AQ7" s="29">
        <f t="shared" ref="AQ6:AQ15" si="3">IFERROR(IF(AI7=0,10%,MIN((AJ7/AI7)*0.1,10%)),0)</f>
        <v>0</v>
      </c>
      <c r="AR7" s="29">
        <f>IFERROR(IF(AND(AC7=0,AL7&gt;0),10%,MIN((AL7/AK7)*0.1,10%)),0)</f>
        <v>5.3557120641655317E-3</v>
      </c>
      <c r="AS7" s="45">
        <f t="shared" ref="AS6:AS14" si="4">IFERROR(IF(AM7=0,10%,MIN((AN7/AM7)*0.1,10%)),0)</f>
        <v>0.1</v>
      </c>
      <c r="AT7" s="29">
        <f>IFERROR(AO7+AP7+AQ7+AR7+AS7,0)</f>
        <v>0.6053557120641655</v>
      </c>
      <c r="AU7" s="18" t="str" cm="1">
        <f t="array" ref="AU7">_xlfn.IFS(AT7&lt;60%,"C",AT7&gt;=60%,"B",AT7&gt;=80,"A")</f>
        <v>B</v>
      </c>
      <c r="AV7" s="26" cm="1">
        <f t="array" ref="AV7">_xlfn.IFS(AT7&gt;=80%,0.05,AT7&gt;=60%,0.03,AT7&lt;60%,0)</f>
        <v>0.03</v>
      </c>
      <c r="AW7" s="173"/>
      <c r="AX7" s="159"/>
      <c r="AY7" s="159"/>
    </row>
    <row r="8" spans="1:51">
      <c r="A8" s="170"/>
      <c r="B8" s="8" t="s">
        <v>45</v>
      </c>
      <c r="C8" s="39"/>
      <c r="D8" s="40"/>
      <c r="E8" s="40"/>
      <c r="F8" s="40">
        <v>1</v>
      </c>
      <c r="G8" s="40">
        <v>1</v>
      </c>
      <c r="H8" s="40"/>
      <c r="I8" s="82">
        <v>11399405</v>
      </c>
      <c r="J8" s="129"/>
      <c r="K8" s="40"/>
      <c r="L8" s="40"/>
      <c r="M8" s="40"/>
      <c r="N8" s="40"/>
      <c r="O8" s="40"/>
      <c r="P8" s="40"/>
      <c r="Q8" s="82">
        <v>22131866</v>
      </c>
      <c r="R8" s="125"/>
      <c r="S8" s="40"/>
      <c r="T8" s="18"/>
      <c r="U8" s="40"/>
      <c r="V8" s="40">
        <v>2</v>
      </c>
      <c r="W8" s="40"/>
      <c r="X8" s="40"/>
      <c r="Y8" s="40"/>
      <c r="Z8" s="82">
        <v>11833098</v>
      </c>
      <c r="AA8" s="40">
        <v>4</v>
      </c>
      <c r="AB8" s="89">
        <v>1</v>
      </c>
      <c r="AC8" s="94">
        <f>C8+D8+E8+K8+L8+M8+S8+U8+V8+T8</f>
        <v>2</v>
      </c>
      <c r="AD8" s="65">
        <v>117704640.66</v>
      </c>
      <c r="AE8" s="89">
        <f>IF(AC8&lt;7,3,AC8)</f>
        <v>3</v>
      </c>
      <c r="AF8" s="18">
        <f>F8+N8+W8</f>
        <v>1</v>
      </c>
      <c r="AG8" s="89">
        <v>1</v>
      </c>
      <c r="AH8" s="18">
        <f>G8+O8+X8</f>
        <v>1</v>
      </c>
      <c r="AI8" s="89">
        <f t="shared" si="2"/>
        <v>2</v>
      </c>
      <c r="AJ8" s="18">
        <f>H8+P8+Y8</f>
        <v>0</v>
      </c>
      <c r="AK8" s="99">
        <f t="shared" si="0"/>
        <v>9416371.2528000008</v>
      </c>
      <c r="AL8" s="102">
        <f>I8+Q8+Z8</f>
        <v>45364369</v>
      </c>
      <c r="AM8" s="18">
        <f t="shared" si="1"/>
        <v>2</v>
      </c>
      <c r="AN8" s="94">
        <f>J8+R8+AA8</f>
        <v>4</v>
      </c>
      <c r="AO8" s="26">
        <f t="shared" ref="AO6:AO15" si="5">IFERROR(IF(AB8=0,50%,MIN((AC8/AB8)*0.5,50%)),0)</f>
        <v>0.5</v>
      </c>
      <c r="AP8" s="29">
        <f>IFERROR(
   IF(AND(AH8&lt;1,AF8&gt;=AE8),
      0.174,
      MIN(((AH8+AF8)/AE8)*0.2,20%)
   ),
   0
)</f>
        <v>0.13333333333333333</v>
      </c>
      <c r="AQ8" s="29">
        <f t="shared" si="3"/>
        <v>0</v>
      </c>
      <c r="AR8" s="29">
        <f>IFERROR(IF(AND(AC8=0,AL8&gt;0),10%,MIN((AL8/AK8)*0.1,10%)),0)</f>
        <v>0.1</v>
      </c>
      <c r="AS8" s="45">
        <f t="shared" si="4"/>
        <v>0.1</v>
      </c>
      <c r="AT8" s="29">
        <f>IFERROR(AO8+AP8+AQ8+AR8+AS8,0)</f>
        <v>0.83333333333333326</v>
      </c>
      <c r="AU8" s="18" t="str" cm="1">
        <f t="array" ref="AU8">_xlfn.IFS(AT8&lt;60%,"C",AT8&gt;=60%,"B",AT8&gt;=80,"A")</f>
        <v>B</v>
      </c>
      <c r="AV8" s="26" cm="1">
        <f t="array" ref="AV8">_xlfn.IFS(AT8&gt;=80%,0.05,AT8&gt;=60%,0.03,AT8&lt;60%,0)</f>
        <v>0.05</v>
      </c>
      <c r="AW8" s="173"/>
      <c r="AX8" s="159"/>
      <c r="AY8" s="159"/>
    </row>
    <row r="9" spans="1:51">
      <c r="A9" s="170"/>
      <c r="B9" s="8" t="s">
        <v>46</v>
      </c>
      <c r="C9" s="39"/>
      <c r="D9" s="40"/>
      <c r="E9" s="40">
        <v>1</v>
      </c>
      <c r="F9" s="63"/>
      <c r="G9" s="40"/>
      <c r="H9" s="40"/>
      <c r="I9" s="82">
        <v>6143759</v>
      </c>
      <c r="J9" s="129"/>
      <c r="K9" s="40"/>
      <c r="L9" s="40"/>
      <c r="M9" s="40"/>
      <c r="N9" s="40"/>
      <c r="O9" s="40">
        <v>1</v>
      </c>
      <c r="P9" s="40">
        <v>5</v>
      </c>
      <c r="Q9" s="82">
        <v>348498</v>
      </c>
      <c r="R9" s="125"/>
      <c r="S9" s="40"/>
      <c r="T9" s="18"/>
      <c r="U9" s="40"/>
      <c r="V9" s="40"/>
      <c r="W9" s="40">
        <v>1</v>
      </c>
      <c r="X9" s="40"/>
      <c r="Y9" s="40"/>
      <c r="Z9" s="82">
        <v>1963763</v>
      </c>
      <c r="AA9" s="40"/>
      <c r="AB9" s="89">
        <v>1</v>
      </c>
      <c r="AC9" s="94">
        <f>C9+D9+E9+K9+L9+M9+S9+U9+V9+T9</f>
        <v>1</v>
      </c>
      <c r="AD9" s="22">
        <v>89704649</v>
      </c>
      <c r="AE9" s="89">
        <f>IF(AC9&lt;7,3,AC9)</f>
        <v>3</v>
      </c>
      <c r="AF9" s="18">
        <f>F9+N9+W9</f>
        <v>1</v>
      </c>
      <c r="AG9" s="89">
        <v>1</v>
      </c>
      <c r="AH9" s="18">
        <f>G9+O9+X9</f>
        <v>1</v>
      </c>
      <c r="AI9" s="89">
        <f t="shared" si="2"/>
        <v>1</v>
      </c>
      <c r="AJ9" s="18">
        <f>H9+P9+Y9</f>
        <v>5</v>
      </c>
      <c r="AK9" s="99">
        <f t="shared" si="0"/>
        <v>7176371.9199999999</v>
      </c>
      <c r="AL9" s="102">
        <f>I9+Q9+Z9</f>
        <v>8456020</v>
      </c>
      <c r="AM9" s="18">
        <f t="shared" si="1"/>
        <v>1</v>
      </c>
      <c r="AN9" s="94">
        <f>J9+R9+AA9</f>
        <v>0</v>
      </c>
      <c r="AO9" s="26">
        <f t="shared" si="5"/>
        <v>0.5</v>
      </c>
      <c r="AP9" s="29">
        <f>IFERROR(
   IF(AND(AH9&lt;1,AF9&gt;=AE9),
      0.174,
      MIN(((AH9+AF9)/AE9)*0.2,20%)
   ),
   0
)</f>
        <v>0.13333333333333333</v>
      </c>
      <c r="AQ9" s="29">
        <f t="shared" si="3"/>
        <v>0.1</v>
      </c>
      <c r="AR9" s="29">
        <f>IFERROR(IF(AND(AC9=0,AL9&gt;0),10%,MIN((AL9/AK9)*0.1,10%)),0)</f>
        <v>0.1</v>
      </c>
      <c r="AS9" s="45">
        <f t="shared" si="4"/>
        <v>0</v>
      </c>
      <c r="AT9" s="29">
        <f>IFERROR(AO9+AP9+AQ9+AR9+AS9,0)</f>
        <v>0.83333333333333326</v>
      </c>
      <c r="AU9" s="18" t="str" cm="1">
        <f t="array" ref="AU9">_xlfn.IFS(AT9&lt;60%,"C",AT9&gt;=60%,"B",AT9&gt;=80,"A")</f>
        <v>B</v>
      </c>
      <c r="AV9" s="26" cm="1">
        <f t="array" ref="AV9">_xlfn.IFS(AT9&gt;=80%,0.05,AT9&gt;=60%,0.03,AT9&lt;60%,0)</f>
        <v>0.05</v>
      </c>
      <c r="AW9" s="173"/>
      <c r="AX9" s="159"/>
      <c r="AY9" s="159"/>
    </row>
    <row r="10" spans="1:51">
      <c r="A10" s="170"/>
      <c r="B10" s="8" t="s">
        <v>59</v>
      </c>
      <c r="C10" s="39"/>
      <c r="D10" s="40"/>
      <c r="E10" s="40"/>
      <c r="F10" s="40"/>
      <c r="G10" s="40"/>
      <c r="H10" s="40"/>
      <c r="I10" s="82">
        <v>15369834</v>
      </c>
      <c r="J10" s="129"/>
      <c r="K10" s="40"/>
      <c r="L10" s="40">
        <v>1</v>
      </c>
      <c r="M10" s="40"/>
      <c r="N10" s="40"/>
      <c r="O10" s="40"/>
      <c r="P10" s="40"/>
      <c r="Q10" s="82">
        <v>5619037</v>
      </c>
      <c r="R10" s="125"/>
      <c r="S10" s="40"/>
      <c r="T10" s="18">
        <v>2</v>
      </c>
      <c r="U10" s="40">
        <v>5</v>
      </c>
      <c r="V10" s="40">
        <v>2</v>
      </c>
      <c r="W10" s="40"/>
      <c r="X10" s="40"/>
      <c r="Y10" s="40"/>
      <c r="Z10" s="82">
        <f>10086911+71197+1107508+1095148</f>
        <v>12360764</v>
      </c>
      <c r="AA10" s="40"/>
      <c r="AB10" s="89">
        <v>1</v>
      </c>
      <c r="AC10" s="94">
        <f>C10+D10+E10+K10+L10+M10+S10+U10+V10+T10</f>
        <v>10</v>
      </c>
      <c r="AD10" s="22">
        <f>75996866+138115480+303372554</f>
        <v>517484900</v>
      </c>
      <c r="AE10" s="89">
        <f>IF(AC10&lt;7,3,AC10)</f>
        <v>10</v>
      </c>
      <c r="AF10" s="18">
        <f>F10+N10+W10</f>
        <v>0</v>
      </c>
      <c r="AG10" s="89">
        <v>1</v>
      </c>
      <c r="AH10" s="18">
        <f>G10+O10+X10</f>
        <v>0</v>
      </c>
      <c r="AI10" s="89">
        <f>AC10</f>
        <v>10</v>
      </c>
      <c r="AJ10" s="18">
        <f>H10+P10+Y10</f>
        <v>0</v>
      </c>
      <c r="AK10" s="99">
        <f t="shared" si="0"/>
        <v>41398792</v>
      </c>
      <c r="AL10" s="102">
        <f>I10+Q10+Z10</f>
        <v>33349635</v>
      </c>
      <c r="AM10" s="18">
        <f t="shared" si="1"/>
        <v>10</v>
      </c>
      <c r="AN10" s="94">
        <f>J10+R10+AA10</f>
        <v>0</v>
      </c>
      <c r="AO10" s="26">
        <f t="shared" si="5"/>
        <v>0.5</v>
      </c>
      <c r="AP10" s="29">
        <f>IFERROR(
   IF(AND(AH10&lt;1,AF10&gt;=AE10),
      0.174,
      MIN(((AH10+AF10)/AE10)*0.2,20%)
   ),
   0
)</f>
        <v>0</v>
      </c>
      <c r="AQ10" s="29">
        <f t="shared" si="3"/>
        <v>0</v>
      </c>
      <c r="AR10" s="29">
        <f>IFERROR(IF(AND(AC10=0,AL10&gt;0),10%,MIN((AL10/AK10)*0.1,10%)),0)</f>
        <v>8.0557024465834667E-2</v>
      </c>
      <c r="AS10" s="45">
        <f t="shared" si="4"/>
        <v>0</v>
      </c>
      <c r="AT10" s="29">
        <f>IFERROR(AO10+AP10+AQ10+AR10+AS10,0)</f>
        <v>0.58055702446583468</v>
      </c>
      <c r="AU10" s="18" t="str" cm="1">
        <f t="array" ref="AU10">_xlfn.IFS(AT10&lt;60%,"C",AT10&gt;=60%,"B",AT10&gt;=80,"A")</f>
        <v>C</v>
      </c>
      <c r="AV10" s="26" cm="1">
        <f t="array" ref="AV10">_xlfn.IFS(AT10&gt;=80%,0.05,AT10&gt;=60%,0.03,AT10&lt;60%,0)</f>
        <v>0</v>
      </c>
      <c r="AW10" s="173"/>
      <c r="AX10" s="159"/>
      <c r="AY10" s="159"/>
    </row>
    <row r="11" spans="1:51">
      <c r="A11" s="170"/>
      <c r="B11" s="8" t="s">
        <v>67</v>
      </c>
      <c r="C11" s="40"/>
      <c r="D11" s="40"/>
      <c r="E11" s="40"/>
      <c r="F11" s="40"/>
      <c r="G11" s="40"/>
      <c r="H11" s="40"/>
      <c r="I11" s="82">
        <v>10828888</v>
      </c>
      <c r="J11" s="40"/>
      <c r="K11" s="39"/>
      <c r="L11" s="40"/>
      <c r="M11" s="40"/>
      <c r="N11" s="40"/>
      <c r="O11" s="40"/>
      <c r="P11" s="40"/>
      <c r="Q11" s="82">
        <v>20276416</v>
      </c>
      <c r="R11" s="124"/>
      <c r="S11" s="39">
        <v>1</v>
      </c>
      <c r="T11" s="18">
        <v>2</v>
      </c>
      <c r="U11" s="40">
        <v>1</v>
      </c>
      <c r="V11" s="40">
        <v>2</v>
      </c>
      <c r="W11" s="40"/>
      <c r="X11" s="40"/>
      <c r="Y11" s="40"/>
      <c r="Z11" s="82">
        <f>7733526+308791</f>
        <v>8042317</v>
      </c>
      <c r="AA11" s="40"/>
      <c r="AB11" s="89">
        <v>1</v>
      </c>
      <c r="AC11" s="94">
        <f>C11+D11+E11+K11+L11+M11+S11+U11+V11+T11</f>
        <v>6</v>
      </c>
      <c r="AD11" s="22">
        <f>254434269+52141631</f>
        <v>306575900</v>
      </c>
      <c r="AE11" s="89">
        <f>IF(AC11&lt;7,3,AC11)</f>
        <v>3</v>
      </c>
      <c r="AF11" s="18">
        <f>F11+N11+W11</f>
        <v>0</v>
      </c>
      <c r="AG11" s="89">
        <v>1</v>
      </c>
      <c r="AH11" s="18">
        <f>G11+O11+X11</f>
        <v>0</v>
      </c>
      <c r="AI11" s="89">
        <f>AC11</f>
        <v>6</v>
      </c>
      <c r="AJ11" s="18">
        <f>H11+P11+Y11</f>
        <v>0</v>
      </c>
      <c r="AK11" s="99">
        <f t="shared" si="0"/>
        <v>24526072</v>
      </c>
      <c r="AL11" s="102">
        <f>I11+Q11+Z11</f>
        <v>39147621</v>
      </c>
      <c r="AM11" s="18">
        <f t="shared" si="1"/>
        <v>6</v>
      </c>
      <c r="AN11" s="94">
        <f>J11+R11+AA11</f>
        <v>0</v>
      </c>
      <c r="AO11" s="116">
        <f t="shared" si="5"/>
        <v>0.5</v>
      </c>
      <c r="AP11" s="29">
        <f>IFERROR(
   IF(AND(AH11&lt;1,AF11&gt;=AE11),
      0.174,
      MIN(((AH11+AF11)/AE11)*0.2,20%)
   ),
   0
)</f>
        <v>0</v>
      </c>
      <c r="AQ11" s="29">
        <f t="shared" si="3"/>
        <v>0</v>
      </c>
      <c r="AR11" s="29">
        <f>IFERROR(IF(AND(AC11=0,AL11&gt;0),10%,MIN((AL11/AK11)*0.1,10%)),0)</f>
        <v>0.1</v>
      </c>
      <c r="AS11" s="45">
        <f t="shared" si="4"/>
        <v>0</v>
      </c>
      <c r="AT11" s="29">
        <f>IFERROR(AO11+AP11+AQ11+AR11+AS11,0)</f>
        <v>0.6</v>
      </c>
      <c r="AU11" s="18" t="str" cm="1">
        <f t="array" ref="AU11">_xlfn.IFS(AT11&lt;60%,"C",AT11&gt;=60%,"B",AT11&gt;=80,"A")</f>
        <v>B</v>
      </c>
      <c r="AV11" s="26" cm="1">
        <f t="array" ref="AV11">_xlfn.IFS(AT11&gt;=80%,0.05,AT11&gt;=60%,0.03,AT11&lt;60%,0)</f>
        <v>0.03</v>
      </c>
      <c r="AW11" s="173"/>
      <c r="AX11" s="159"/>
      <c r="AY11" s="159"/>
    </row>
    <row r="12" spans="1:51">
      <c r="A12" s="170"/>
      <c r="B12" s="8" t="s">
        <v>52</v>
      </c>
      <c r="C12" s="40"/>
      <c r="D12" s="40"/>
      <c r="E12" s="40"/>
      <c r="F12" s="40"/>
      <c r="G12" s="40"/>
      <c r="H12" s="40"/>
      <c r="I12" s="82">
        <v>4329433</v>
      </c>
      <c r="J12" s="40"/>
      <c r="K12" s="39"/>
      <c r="L12" s="40"/>
      <c r="M12" s="40"/>
      <c r="N12" s="40"/>
      <c r="O12" s="40"/>
      <c r="P12" s="40"/>
      <c r="Q12" s="82">
        <v>9632976</v>
      </c>
      <c r="R12" s="124"/>
      <c r="S12" s="39"/>
      <c r="T12" s="18"/>
      <c r="U12" s="40"/>
      <c r="V12" s="40">
        <v>1</v>
      </c>
      <c r="W12" s="40"/>
      <c r="X12" s="40"/>
      <c r="Y12" s="40"/>
      <c r="Z12" s="82">
        <f>919157+690436</f>
        <v>1609593</v>
      </c>
      <c r="AA12" s="40"/>
      <c r="AB12" s="89">
        <v>1</v>
      </c>
      <c r="AC12" s="94">
        <f>C12+D12+E12+K12+L12+M12+S12+U12+V12+T12</f>
        <v>1</v>
      </c>
      <c r="AD12" s="22">
        <v>83293578</v>
      </c>
      <c r="AE12" s="89">
        <f>IF(AC12&lt;7,3,AC12)</f>
        <v>3</v>
      </c>
      <c r="AF12" s="18">
        <f>F12+N12+W12</f>
        <v>0</v>
      </c>
      <c r="AG12" s="89">
        <v>1</v>
      </c>
      <c r="AH12" s="18">
        <f>G12+O12+X12</f>
        <v>0</v>
      </c>
      <c r="AI12" s="89">
        <f>AC12</f>
        <v>1</v>
      </c>
      <c r="AJ12" s="18">
        <f>H12+P12+Y12</f>
        <v>0</v>
      </c>
      <c r="AK12" s="99">
        <f t="shared" si="0"/>
        <v>6663486.2400000002</v>
      </c>
      <c r="AL12" s="102">
        <f>I12+Q12+Z12</f>
        <v>15572002</v>
      </c>
      <c r="AM12" s="18">
        <f t="shared" si="1"/>
        <v>1</v>
      </c>
      <c r="AN12" s="94">
        <f>J12+R12+AA12</f>
        <v>0</v>
      </c>
      <c r="AO12" s="116">
        <f t="shared" si="5"/>
        <v>0.5</v>
      </c>
      <c r="AP12" s="29">
        <f>IFERROR(
   IF(AND(AH12&lt;1,AF12&gt;=AE12),
      0.174,
      MIN(((AH12+AF12)/AE12)*0.2,20%)
   ),
   0
)</f>
        <v>0</v>
      </c>
      <c r="AQ12" s="29">
        <f t="shared" si="3"/>
        <v>0</v>
      </c>
      <c r="AR12" s="29">
        <f>IFERROR(IF(AND(AC12=0,AL12&gt;0),10%,MIN((AL12/AK12)*0.1,10%)),0)</f>
        <v>0.1</v>
      </c>
      <c r="AS12" s="45">
        <f t="shared" si="4"/>
        <v>0</v>
      </c>
      <c r="AT12" s="29">
        <f>IFERROR(AO12+AP12+AQ12+AR12+AS12,0)</f>
        <v>0.6</v>
      </c>
      <c r="AU12" s="18" t="str" cm="1">
        <f t="array" ref="AU12">_xlfn.IFS(AT12&lt;60%,"C",AT12&gt;=60%,"B",AT12&gt;=80,"A")</f>
        <v>B</v>
      </c>
      <c r="AV12" s="26" cm="1">
        <f t="array" ref="AV12">_xlfn.IFS(AT12&gt;=80%,0.05,AT12&gt;=60%,0.03,AT12&lt;60%,0)</f>
        <v>0.03</v>
      </c>
      <c r="AW12" s="173"/>
      <c r="AX12" s="159"/>
      <c r="AY12" s="159"/>
    </row>
    <row r="13" spans="1:51">
      <c r="A13" s="170"/>
      <c r="B13" s="8" t="s">
        <v>72</v>
      </c>
      <c r="C13" s="39"/>
      <c r="D13" s="40"/>
      <c r="E13" s="40"/>
      <c r="F13" s="40"/>
      <c r="G13" s="40"/>
      <c r="H13" s="40"/>
      <c r="I13" s="82">
        <v>3580098</v>
      </c>
      <c r="J13" s="129"/>
      <c r="K13" s="40"/>
      <c r="L13" s="40"/>
      <c r="M13" s="40"/>
      <c r="N13" s="40"/>
      <c r="O13" s="40"/>
      <c r="P13" s="40"/>
      <c r="Q13" s="82">
        <v>911946</v>
      </c>
      <c r="R13" s="124"/>
      <c r="S13" s="39"/>
      <c r="T13" s="18"/>
      <c r="U13" s="40">
        <v>1</v>
      </c>
      <c r="V13" s="40"/>
      <c r="W13" s="40">
        <v>2</v>
      </c>
      <c r="X13" s="40"/>
      <c r="Y13" s="40"/>
      <c r="Z13" s="82">
        <f>898949+298141</f>
        <v>1197090</v>
      </c>
      <c r="AA13" s="40">
        <v>1</v>
      </c>
      <c r="AB13" s="89">
        <v>1</v>
      </c>
      <c r="AC13" s="94">
        <f>C13+D13+E13+K13+L13+M13+S13+U13+V13+T13</f>
        <v>1</v>
      </c>
      <c r="AD13" s="22">
        <v>75418571</v>
      </c>
      <c r="AE13" s="89">
        <f>IF(AC13&lt;7,3,AC13)</f>
        <v>3</v>
      </c>
      <c r="AF13" s="18">
        <f>F13+N13+W13</f>
        <v>2</v>
      </c>
      <c r="AG13" s="89">
        <v>1</v>
      </c>
      <c r="AH13" s="18">
        <f>G13+O13+X13</f>
        <v>0</v>
      </c>
      <c r="AI13" s="89">
        <f t="shared" ref="AI13:AI25" si="6">AC13</f>
        <v>1</v>
      </c>
      <c r="AJ13" s="18">
        <f>H13+P13+Y13</f>
        <v>0</v>
      </c>
      <c r="AK13" s="99">
        <f t="shared" si="0"/>
        <v>6033485.6799999997</v>
      </c>
      <c r="AL13" s="102">
        <f>I13+Q13+Z13</f>
        <v>5689134</v>
      </c>
      <c r="AM13" s="18">
        <f t="shared" si="1"/>
        <v>1</v>
      </c>
      <c r="AN13" s="94">
        <f>J13+R13+AA13</f>
        <v>1</v>
      </c>
      <c r="AO13" s="116">
        <f t="shared" si="5"/>
        <v>0.5</v>
      </c>
      <c r="AP13" s="29">
        <f t="shared" ref="AP13:AQ15" si="7">IFERROR(
   IF(AND(AH13&lt;1,AF13&gt;=AE13),
      0.174,
      MIN(((AH13+AF13)/AE13)*0.2,20%)
   ),
   0
)</f>
        <v>0.13333333333333333</v>
      </c>
      <c r="AQ13" s="29">
        <f t="shared" si="3"/>
        <v>0</v>
      </c>
      <c r="AR13" s="29">
        <f t="shared" ref="AR13:AR15" si="8">IFERROR(IF(AND(AC13=0,AL13&gt;0),10%,MIN((AL13/AK13)*0.1,10%)),0)</f>
        <v>9.4292657706282978E-2</v>
      </c>
      <c r="AS13" s="45">
        <f t="shared" si="4"/>
        <v>0.1</v>
      </c>
      <c r="AT13" s="29">
        <f t="shared" ref="AT13:AT15" si="9">IFERROR(AO13+AP13+AQ13+AR13+AS13,0)</f>
        <v>0.82762599103961632</v>
      </c>
      <c r="AU13" s="18" t="str" cm="1">
        <f t="array" ref="AU13">_xlfn.IFS(AT13&lt;60%,"C",AT13&gt;=60%,"B",AT13&gt;=80,"A")</f>
        <v>B</v>
      </c>
      <c r="AV13" s="26" cm="1">
        <f t="array" ref="AV13">_xlfn.IFS(AT13&gt;=80%,0.05,AT13&gt;=60%,0.03,AT13&lt;60%,0)</f>
        <v>0.05</v>
      </c>
      <c r="AW13" s="173"/>
      <c r="AX13" s="159"/>
      <c r="AY13" s="159"/>
    </row>
    <row r="14" spans="1:51">
      <c r="A14" s="170"/>
      <c r="B14" s="8" t="s">
        <v>73</v>
      </c>
      <c r="C14" s="39"/>
      <c r="D14" s="40"/>
      <c r="E14" s="40"/>
      <c r="F14" s="40"/>
      <c r="G14" s="40"/>
      <c r="H14" s="40"/>
      <c r="I14" s="82"/>
      <c r="J14" s="129"/>
      <c r="K14" s="40"/>
      <c r="L14" s="40"/>
      <c r="M14" s="40"/>
      <c r="N14" s="40"/>
      <c r="O14" s="40"/>
      <c r="P14" s="40"/>
      <c r="Q14" s="82"/>
      <c r="R14" s="125"/>
      <c r="S14" s="40"/>
      <c r="T14" s="18"/>
      <c r="U14" s="40"/>
      <c r="V14" s="40"/>
      <c r="W14" s="40"/>
      <c r="X14" s="40"/>
      <c r="Y14" s="40"/>
      <c r="Z14" s="82"/>
      <c r="AA14" s="40"/>
      <c r="AB14" s="89">
        <v>1</v>
      </c>
      <c r="AC14" s="94">
        <f>C14+D14+E14+K14+L14+M14+S14+U14+V14+T14</f>
        <v>0</v>
      </c>
      <c r="AD14" s="53"/>
      <c r="AE14" s="89">
        <f>IF(AC14&lt;7,3,AC14)</f>
        <v>3</v>
      </c>
      <c r="AF14" s="18">
        <f>F14+N14+W14</f>
        <v>0</v>
      </c>
      <c r="AG14" s="89">
        <v>1</v>
      </c>
      <c r="AH14" s="18">
        <f>G14+O14+X14</f>
        <v>0</v>
      </c>
      <c r="AI14" s="89">
        <f t="shared" si="6"/>
        <v>0</v>
      </c>
      <c r="AJ14" s="18">
        <f>H14+P14+Y14</f>
        <v>0</v>
      </c>
      <c r="AK14" s="99">
        <f t="shared" si="0"/>
        <v>0</v>
      </c>
      <c r="AL14" s="102">
        <f>I14+Q14+Z14</f>
        <v>0</v>
      </c>
      <c r="AM14" s="18">
        <f t="shared" si="1"/>
        <v>0</v>
      </c>
      <c r="AN14" s="94">
        <f>J14+R14+AA14</f>
        <v>0</v>
      </c>
      <c r="AO14" s="116">
        <f t="shared" si="5"/>
        <v>0</v>
      </c>
      <c r="AP14" s="29">
        <f t="shared" si="7"/>
        <v>0</v>
      </c>
      <c r="AQ14" s="29">
        <f t="shared" si="3"/>
        <v>0.1</v>
      </c>
      <c r="AR14" s="29">
        <f t="shared" si="8"/>
        <v>0</v>
      </c>
      <c r="AS14" s="45">
        <f>IFERROR(IF(AM14=0,10%,MIN((AN14/AM14)*0.1,10%)),0)</f>
        <v>0.1</v>
      </c>
      <c r="AT14" s="29">
        <f t="shared" si="9"/>
        <v>0.2</v>
      </c>
      <c r="AU14" s="18" t="str" cm="1">
        <f t="array" ref="AU14">_xlfn.IFS(AT14&lt;60%,"C",AT14&gt;=60%,"B",AT14&gt;=80,"A")</f>
        <v>C</v>
      </c>
      <c r="AV14" s="26" cm="1">
        <f t="array" ref="AV14">_xlfn.IFS(AT14&gt;=80%,0.05,AT14&gt;=60%,0.03,AT14&lt;60%,0)</f>
        <v>0</v>
      </c>
      <c r="AW14" s="173"/>
      <c r="AX14" s="159"/>
      <c r="AY14" s="159"/>
    </row>
    <row r="15" spans="1:51">
      <c r="A15" s="171"/>
      <c r="B15" s="8" t="s">
        <v>78</v>
      </c>
      <c r="C15" s="39"/>
      <c r="D15" s="40"/>
      <c r="E15" s="40"/>
      <c r="F15" s="40"/>
      <c r="G15" s="40"/>
      <c r="H15" s="40"/>
      <c r="I15" s="82"/>
      <c r="J15" s="129"/>
      <c r="K15" s="40"/>
      <c r="L15" s="40"/>
      <c r="M15" s="40"/>
      <c r="N15" s="40"/>
      <c r="O15" s="40"/>
      <c r="P15" s="40"/>
      <c r="Q15" s="82"/>
      <c r="R15" s="125"/>
      <c r="S15" s="40"/>
      <c r="T15" s="18"/>
      <c r="U15" s="40">
        <v>1</v>
      </c>
      <c r="V15" s="40"/>
      <c r="W15" s="120">
        <v>3</v>
      </c>
      <c r="X15" s="120">
        <v>1</v>
      </c>
      <c r="Y15" s="40"/>
      <c r="Z15" s="82">
        <f>833520+91544</f>
        <v>925064</v>
      </c>
      <c r="AA15" s="40">
        <v>1</v>
      </c>
      <c r="AB15" s="89">
        <v>1</v>
      </c>
      <c r="AC15" s="94">
        <f>C15+D15+E15+K15+L15+M15+S15+U15+V15+T15</f>
        <v>1</v>
      </c>
      <c r="AD15" s="53">
        <v>74062632</v>
      </c>
      <c r="AE15" s="89">
        <f>IF(AC15&lt;7,3,AC15)</f>
        <v>3</v>
      </c>
      <c r="AF15" s="18">
        <f>F15+N15+W15</f>
        <v>3</v>
      </c>
      <c r="AG15" s="89">
        <v>1</v>
      </c>
      <c r="AH15" s="18">
        <f>G15+O15+X15</f>
        <v>1</v>
      </c>
      <c r="AI15" s="89">
        <f t="shared" si="6"/>
        <v>1</v>
      </c>
      <c r="AJ15" s="18">
        <f>H15+P15+Y15</f>
        <v>0</v>
      </c>
      <c r="AK15" s="99">
        <f t="shared" si="0"/>
        <v>5925010.5600000005</v>
      </c>
      <c r="AL15" s="102">
        <f>I15+Q15+Z15</f>
        <v>925064</v>
      </c>
      <c r="AM15" s="18">
        <f t="shared" si="1"/>
        <v>1</v>
      </c>
      <c r="AN15" s="94">
        <f>J15+R15+AA15</f>
        <v>1</v>
      </c>
      <c r="AO15" s="116">
        <f t="shared" si="5"/>
        <v>0.5</v>
      </c>
      <c r="AP15" s="29">
        <f>IFERROR(
   IF(AND(AH15&lt;1,AF15&gt;=AE15),
      0.174,
      MIN(((AH15+AF15)/AE15)*0.2,20%)
   ),
   0
)</f>
        <v>0.2</v>
      </c>
      <c r="AQ15" s="29">
        <f t="shared" si="3"/>
        <v>0</v>
      </c>
      <c r="AR15" s="29">
        <f t="shared" si="8"/>
        <v>1.5612866688291606E-2</v>
      </c>
      <c r="AS15" s="45">
        <f>IFERROR(IF(AM15=0,10%,MIN((AN15/AM15)*0.1,10%)),0)</f>
        <v>0.1</v>
      </c>
      <c r="AT15" s="29">
        <f t="shared" si="9"/>
        <v>0.81561286668829158</v>
      </c>
      <c r="AU15" s="18" t="str" cm="1">
        <f t="array" ref="AU15">_xlfn.IFS(AT15&lt;60%,"C",AT15&gt;=60%,"B",AT15&gt;=80,"A")</f>
        <v>B</v>
      </c>
      <c r="AV15" s="26" cm="1">
        <f t="array" ref="AV15">_xlfn.IFS(AT15&gt;=80%,0.05,AT15&gt;=60%,0.03,AT15&lt;60%,0)</f>
        <v>0.05</v>
      </c>
      <c r="AW15" s="174"/>
      <c r="AX15" s="156"/>
      <c r="AY15" s="156"/>
    </row>
    <row r="16" spans="1:51" ht="15" customHeight="1">
      <c r="A16" s="160" t="s">
        <v>47</v>
      </c>
      <c r="B16" s="10" t="s">
        <v>48</v>
      </c>
      <c r="C16" s="41"/>
      <c r="D16" s="42"/>
      <c r="E16" s="42"/>
      <c r="F16" s="42">
        <v>1</v>
      </c>
      <c r="G16" s="42"/>
      <c r="H16" s="64"/>
      <c r="I16" s="133">
        <v>19780900</v>
      </c>
      <c r="J16" s="130"/>
      <c r="K16" s="42"/>
      <c r="L16" s="42"/>
      <c r="M16" s="42">
        <v>3</v>
      </c>
      <c r="N16" s="42"/>
      <c r="O16" s="42"/>
      <c r="P16" s="42"/>
      <c r="Q16" s="133">
        <v>4683982</v>
      </c>
      <c r="R16" s="128"/>
      <c r="S16" s="42"/>
      <c r="T16" s="19">
        <v>2</v>
      </c>
      <c r="U16" s="42">
        <v>7</v>
      </c>
      <c r="V16" s="42">
        <v>1</v>
      </c>
      <c r="W16" s="42"/>
      <c r="X16" s="42"/>
      <c r="Y16" s="42">
        <v>1</v>
      </c>
      <c r="Z16" s="133">
        <f>7733526+225796+714703+216313</f>
        <v>8890338</v>
      </c>
      <c r="AA16" s="42"/>
      <c r="AB16" s="90">
        <v>1</v>
      </c>
      <c r="AC16" s="95">
        <f>C16+D16+E16+K16+L16+M16+S16+U16+V16+T16</f>
        <v>13</v>
      </c>
      <c r="AD16" s="117">
        <f>251204037+156723582+402694150</f>
        <v>810621769</v>
      </c>
      <c r="AE16" s="90">
        <f>IF(AC16&lt;7,3,AC16)</f>
        <v>13</v>
      </c>
      <c r="AF16" s="19">
        <f>F16+N16+W16</f>
        <v>1</v>
      </c>
      <c r="AG16" s="90">
        <v>1</v>
      </c>
      <c r="AH16" s="19">
        <f>G16+O16+X16</f>
        <v>0</v>
      </c>
      <c r="AI16" s="90">
        <f t="shared" si="6"/>
        <v>13</v>
      </c>
      <c r="AJ16" s="19">
        <f>H16+P16+Y16</f>
        <v>1</v>
      </c>
      <c r="AK16" s="100">
        <f>AD16*0.08</f>
        <v>64849741.520000003</v>
      </c>
      <c r="AL16" s="103">
        <f>I16+Q16+Z16</f>
        <v>33355220</v>
      </c>
      <c r="AM16" s="19">
        <f>AC16</f>
        <v>13</v>
      </c>
      <c r="AN16" s="95">
        <f>J16+R16+AA16</f>
        <v>0</v>
      </c>
      <c r="AO16" s="27">
        <f>IFERROR(IF(AB16=0,50%,MIN((AC16/AB16)*0.5,50%)),0)</f>
        <v>0.5</v>
      </c>
      <c r="AP16" s="76">
        <f>IFERROR(
   IF(AND(AH16&lt;1,AF16&gt;=AE16),
      0.174,
      MIN(((AH16+AF16)/AE16)*0.2,20%)
   ),
   0
)</f>
        <v>1.5384615384615385E-2</v>
      </c>
      <c r="AQ16" s="76">
        <f>IFERROR(IF(AI16=0,10%,MIN((AJ16/AI16)*0.1,10%)),0)</f>
        <v>7.6923076923076927E-3</v>
      </c>
      <c r="AR16" s="76">
        <f>IFERROR(IF(AND(AC16=0,AL16&gt;0),10%,MIN((AL16/AK16)*0.1,10%)),0)</f>
        <v>5.1434622896242503E-2</v>
      </c>
      <c r="AS16" s="77">
        <f>IFERROR(IF(AM16=0,10%,MIN((AN16/AM16)*0.1,10%)),0)</f>
        <v>0</v>
      </c>
      <c r="AT16" s="76">
        <f>IFERROR(AO16+AP16+AQ16+AR16+AS16,0)</f>
        <v>0.57451154597316545</v>
      </c>
      <c r="AU16" s="19" t="str" cm="1">
        <f t="array" ref="AU16">_xlfn.IFS(AT16&lt;60%,"C",AT16&gt;=60%,"B",AT16&gt;=80,"A")</f>
        <v>C</v>
      </c>
      <c r="AV16" s="27" cm="1">
        <f t="array" ref="AV16">_xlfn.IFS(AT16&gt;=80%,0.05,AT16&gt;=60%,0.03,AT16&lt;60%,0)</f>
        <v>0</v>
      </c>
      <c r="AW16" s="163">
        <f>AVERAGE(AT16:AT25)</f>
        <v>0.58440899154526682</v>
      </c>
      <c r="AX16" s="166">
        <f>10000*AW16</f>
        <v>5844.0899154526678</v>
      </c>
      <c r="AY16" s="166">
        <f>AX16*216</f>
        <v>1262323.4217377761</v>
      </c>
    </row>
    <row r="17" spans="1:51" ht="15.75" customHeight="1">
      <c r="A17" s="161"/>
      <c r="B17" s="11" t="s">
        <v>60</v>
      </c>
      <c r="C17" s="41"/>
      <c r="D17" s="42"/>
      <c r="E17" s="42"/>
      <c r="F17" s="42"/>
      <c r="G17" s="42">
        <v>1</v>
      </c>
      <c r="H17" s="42"/>
      <c r="I17" s="133"/>
      <c r="J17" s="130"/>
      <c r="K17" s="42"/>
      <c r="L17" s="42"/>
      <c r="M17" s="42"/>
      <c r="N17" s="42">
        <v>3</v>
      </c>
      <c r="O17" s="42"/>
      <c r="P17" s="42"/>
      <c r="Q17" s="133"/>
      <c r="R17" s="128"/>
      <c r="S17" s="42"/>
      <c r="T17" s="19"/>
      <c r="U17" s="42"/>
      <c r="V17" s="42"/>
      <c r="W17" s="42"/>
      <c r="X17" s="42"/>
      <c r="Y17" s="42"/>
      <c r="Z17" s="134"/>
      <c r="AA17" s="42"/>
      <c r="AB17" s="90">
        <v>1</v>
      </c>
      <c r="AC17" s="95">
        <f>C17+D17+E17+K17+L17+M17+S17+U17+V17+T17</f>
        <v>0</v>
      </c>
      <c r="AD17" s="117"/>
      <c r="AE17" s="90">
        <f>IF(AC17&lt;7,3,AC17)</f>
        <v>3</v>
      </c>
      <c r="AF17" s="19">
        <f>F17+N17+W17</f>
        <v>3</v>
      </c>
      <c r="AG17" s="90">
        <v>1</v>
      </c>
      <c r="AH17" s="19">
        <f>G17+O17+X17</f>
        <v>1</v>
      </c>
      <c r="AI17" s="90">
        <f t="shared" si="6"/>
        <v>0</v>
      </c>
      <c r="AJ17" s="19">
        <f>H17+P17+Y17</f>
        <v>0</v>
      </c>
      <c r="AK17" s="100">
        <f t="shared" ref="AK17:AK25" si="10">AD17*0.08</f>
        <v>0</v>
      </c>
      <c r="AL17" s="103">
        <f>I17+Q17+Z17</f>
        <v>0</v>
      </c>
      <c r="AM17" s="19">
        <f t="shared" ref="AM17:AM25" si="11">AC17</f>
        <v>0</v>
      </c>
      <c r="AN17" s="95">
        <f>J17+R17+AA17</f>
        <v>0</v>
      </c>
      <c r="AO17" s="27">
        <f t="shared" ref="AO17:AO25" si="12">IFERROR(IF(AB17=0,50%,MIN((AC17/AB17)*0.5,50%)),0)</f>
        <v>0</v>
      </c>
      <c r="AP17" s="76">
        <f>IFERROR(
   IF(AND(AH17&lt;1,AF17&gt;=AE17),
      0.174,
      MIN(((AH17+AF17)/AE17)*0.2,20%)
   ),
   0
)</f>
        <v>0.2</v>
      </c>
      <c r="AQ17" s="76">
        <f t="shared" ref="AQ17:AQ25" si="13">IFERROR(IF(AI17=0,10%,MIN((AJ17/AI17)*0.1,10%)),0)</f>
        <v>0.1</v>
      </c>
      <c r="AR17" s="76">
        <f>IFERROR(IF(AND(AC17=0,AL17&gt;0),10%,MIN((AL17/AK17)*0.1,10%)),0)</f>
        <v>0</v>
      </c>
      <c r="AS17" s="77">
        <f t="shared" ref="AS17:AS25" si="14">IFERROR(IF(AM17=0,10%,MIN((AN17/AM17)*0.1,10%)),0)</f>
        <v>0.1</v>
      </c>
      <c r="AT17" s="76">
        <f>IFERROR(AO17+AP17+AQ17+AR17+AS17,0)</f>
        <v>0.4</v>
      </c>
      <c r="AU17" s="19" t="str" cm="1">
        <f t="array" ref="AU17">_xlfn.IFS(AT17&lt;60%,"C",AT17&gt;=60%,"B",AT17&gt;=80,"A")</f>
        <v>C</v>
      </c>
      <c r="AV17" s="27" cm="1">
        <f t="array" ref="AV17">_xlfn.IFS(AT17&gt;=80%,0.05,AT17&gt;=60%,0.03,AT17&lt;60%,0)</f>
        <v>0</v>
      </c>
      <c r="AW17" s="164"/>
      <c r="AX17" s="167"/>
      <c r="AY17" s="167"/>
    </row>
    <row r="18" spans="1:51">
      <c r="A18" s="161"/>
      <c r="B18" s="10" t="s">
        <v>61</v>
      </c>
      <c r="C18" s="41"/>
      <c r="D18" s="42"/>
      <c r="E18" s="42"/>
      <c r="F18" s="42"/>
      <c r="G18" s="42"/>
      <c r="H18" s="42"/>
      <c r="I18" s="133">
        <v>5077128</v>
      </c>
      <c r="J18" s="130"/>
      <c r="K18" s="42"/>
      <c r="L18" s="42"/>
      <c r="M18" s="42"/>
      <c r="N18" s="42"/>
      <c r="O18" s="42"/>
      <c r="P18" s="42"/>
      <c r="Q18" s="133">
        <v>11773310</v>
      </c>
      <c r="R18" s="128"/>
      <c r="S18" s="42"/>
      <c r="T18" s="19"/>
      <c r="U18" s="42"/>
      <c r="V18" s="42"/>
      <c r="W18" s="42">
        <v>1</v>
      </c>
      <c r="X18" s="42"/>
      <c r="Y18" s="42"/>
      <c r="Z18" s="133"/>
      <c r="AA18" s="42"/>
      <c r="AB18" s="90">
        <v>1</v>
      </c>
      <c r="AC18" s="95">
        <f>C18+D18+E18+K18+L18+M18+S18+U18+V18+T18</f>
        <v>0</v>
      </c>
      <c r="AD18" s="117"/>
      <c r="AE18" s="90">
        <f>IF(AC18&lt;7,3,AC18)</f>
        <v>3</v>
      </c>
      <c r="AF18" s="19">
        <f>F18+N18+W18</f>
        <v>1</v>
      </c>
      <c r="AG18" s="90">
        <v>1</v>
      </c>
      <c r="AH18" s="19">
        <f>G18+O18+X18</f>
        <v>0</v>
      </c>
      <c r="AI18" s="90">
        <f t="shared" si="6"/>
        <v>0</v>
      </c>
      <c r="AJ18" s="19">
        <f>H18+P18+Y18</f>
        <v>0</v>
      </c>
      <c r="AK18" s="100">
        <f t="shared" si="10"/>
        <v>0</v>
      </c>
      <c r="AL18" s="103">
        <f>I18+Q18+Z18</f>
        <v>16850438</v>
      </c>
      <c r="AM18" s="19">
        <f t="shared" si="11"/>
        <v>0</v>
      </c>
      <c r="AN18" s="95">
        <f>J18+R18+AA18</f>
        <v>0</v>
      </c>
      <c r="AO18" s="27">
        <f t="shared" si="12"/>
        <v>0</v>
      </c>
      <c r="AP18" s="76">
        <f>IFERROR(
   IF(AND(AH18&lt;1,AF18&gt;=AE18),
      0.174,
      MIN(((AH18+AF18)/AE18)*0.2,20%)
   ),
   0
)</f>
        <v>6.6666666666666666E-2</v>
      </c>
      <c r="AQ18" s="76">
        <f t="shared" si="13"/>
        <v>0.1</v>
      </c>
      <c r="AR18" s="76">
        <f>IFERROR(IF(AND(AC18=0,AL18&gt;0),10%,MIN((AL18/AK18)*0.1,10%)),0)</f>
        <v>0.1</v>
      </c>
      <c r="AS18" s="77">
        <f t="shared" si="14"/>
        <v>0.1</v>
      </c>
      <c r="AT18" s="76">
        <f>IFERROR(AO18+AP18+AQ18+AR18+AS18,0)</f>
        <v>0.3666666666666667</v>
      </c>
      <c r="AU18" s="19" t="str" cm="1">
        <f t="array" ref="AU18">_xlfn.IFS(AT18&lt;60%,"C",AT18&gt;=60%,"B",AT18&gt;=80,"A")</f>
        <v>C</v>
      </c>
      <c r="AV18" s="27" cm="1">
        <f t="array" ref="AV18">_xlfn.IFS(AT18&gt;=80%,0.05,AT18&gt;=60%,0.03,AT18&lt;60%,0)</f>
        <v>0</v>
      </c>
      <c r="AW18" s="164"/>
      <c r="AX18" s="167"/>
      <c r="AY18" s="167"/>
    </row>
    <row r="19" spans="1:51" ht="16.5" customHeight="1">
      <c r="A19" s="161"/>
      <c r="B19" s="11" t="s">
        <v>62</v>
      </c>
      <c r="C19" s="41"/>
      <c r="D19" s="42"/>
      <c r="E19" s="42"/>
      <c r="F19" s="42"/>
      <c r="G19" s="42">
        <v>1</v>
      </c>
      <c r="H19" s="42"/>
      <c r="I19" s="133">
        <v>1800563</v>
      </c>
      <c r="J19" s="130"/>
      <c r="K19" s="42"/>
      <c r="L19" s="42"/>
      <c r="M19" s="42"/>
      <c r="N19" s="42"/>
      <c r="O19" s="42"/>
      <c r="P19" s="42"/>
      <c r="Q19" s="133">
        <v>2360729</v>
      </c>
      <c r="R19" s="128"/>
      <c r="S19" s="42"/>
      <c r="T19" s="19">
        <v>1</v>
      </c>
      <c r="U19" s="42"/>
      <c r="V19" s="42"/>
      <c r="W19" s="42">
        <v>2</v>
      </c>
      <c r="X19" s="42"/>
      <c r="Y19" s="42"/>
      <c r="Z19" s="133">
        <v>131898</v>
      </c>
      <c r="AA19" s="42"/>
      <c r="AB19" s="90">
        <v>1</v>
      </c>
      <c r="AC19" s="95">
        <f>C19+D19+E19+K19+L19+M19+S19+U19+V19+T19</f>
        <v>1</v>
      </c>
      <c r="AD19" s="117"/>
      <c r="AE19" s="90">
        <f>IF(AC19&lt;7,3,AC19)</f>
        <v>3</v>
      </c>
      <c r="AF19" s="19">
        <f>F19+N19+W19</f>
        <v>2</v>
      </c>
      <c r="AG19" s="90">
        <v>1</v>
      </c>
      <c r="AH19" s="19">
        <f>G19+O19+X19</f>
        <v>1</v>
      </c>
      <c r="AI19" s="90">
        <f t="shared" si="6"/>
        <v>1</v>
      </c>
      <c r="AJ19" s="19">
        <f>H19+P19+Y19</f>
        <v>0</v>
      </c>
      <c r="AK19" s="100">
        <f t="shared" si="10"/>
        <v>0</v>
      </c>
      <c r="AL19" s="103">
        <f>I19+Q19+Z19</f>
        <v>4293190</v>
      </c>
      <c r="AM19" s="19">
        <f t="shared" si="11"/>
        <v>1</v>
      </c>
      <c r="AN19" s="95">
        <f>J19+R19+AA19</f>
        <v>0</v>
      </c>
      <c r="AO19" s="27">
        <f t="shared" si="12"/>
        <v>0.5</v>
      </c>
      <c r="AP19" s="76">
        <f>IFERROR(
   IF(AND(AH19&lt;1,AF19&gt;=AE19),
      0.174,
      MIN(((AH19+AF19)/AE19)*0.2,20%)
   ),
   0
)</f>
        <v>0.2</v>
      </c>
      <c r="AQ19" s="76">
        <f t="shared" si="13"/>
        <v>0</v>
      </c>
      <c r="AR19" s="76">
        <f>IFERROR(IF(AND(AC19=0,AL19&gt;0),10%,MIN((AL19/AK19)*0.1,10%)),0)</f>
        <v>0</v>
      </c>
      <c r="AS19" s="77">
        <f t="shared" si="14"/>
        <v>0</v>
      </c>
      <c r="AT19" s="76">
        <f>IFERROR(AO19+AP19+AQ19+AR19+AS19,0)</f>
        <v>0.7</v>
      </c>
      <c r="AU19" s="19" t="str" cm="1">
        <f t="array" ref="AU19">_xlfn.IFS(AT19&lt;60%,"C",AT19&gt;=60%,"B",AT19&gt;=80,"A")</f>
        <v>B</v>
      </c>
      <c r="AV19" s="27" cm="1">
        <f t="array" ref="AV19">_xlfn.IFS(AT19&gt;=80%,0.05,AT19&gt;=60%,0.03,AT19&lt;60%,0)</f>
        <v>0.03</v>
      </c>
      <c r="AW19" s="164"/>
      <c r="AX19" s="167"/>
      <c r="AY19" s="167"/>
    </row>
    <row r="20" spans="1:51">
      <c r="A20" s="161"/>
      <c r="B20" s="10" t="s">
        <v>49</v>
      </c>
      <c r="C20" s="41"/>
      <c r="D20" s="42"/>
      <c r="E20" s="42">
        <v>2</v>
      </c>
      <c r="F20" s="42"/>
      <c r="G20" s="42"/>
      <c r="H20" s="42">
        <v>1</v>
      </c>
      <c r="I20" s="133">
        <v>9141629</v>
      </c>
      <c r="J20" s="130"/>
      <c r="K20" s="42"/>
      <c r="L20" s="42"/>
      <c r="M20" s="42"/>
      <c r="N20" s="42">
        <v>1</v>
      </c>
      <c r="O20" s="42"/>
      <c r="P20" s="42"/>
      <c r="Q20" s="133">
        <v>2897762</v>
      </c>
      <c r="R20" s="128"/>
      <c r="S20" s="42"/>
      <c r="T20" s="19"/>
      <c r="U20" s="42"/>
      <c r="V20" s="42"/>
      <c r="W20" s="42"/>
      <c r="X20" s="42"/>
      <c r="Y20" s="42"/>
      <c r="Z20" s="133">
        <f>547164+2853063+441264</f>
        <v>3841491</v>
      </c>
      <c r="AA20" s="42"/>
      <c r="AB20" s="90">
        <v>1</v>
      </c>
      <c r="AC20" s="95">
        <f>C20+D20+E20+K20+L20+M20+S20+U20+V20+T20</f>
        <v>2</v>
      </c>
      <c r="AD20" s="117">
        <v>199539366</v>
      </c>
      <c r="AE20" s="90">
        <f>IF(AC20&lt;7,3,AC20)</f>
        <v>3</v>
      </c>
      <c r="AF20" s="19">
        <f>F20+N20+W20</f>
        <v>1</v>
      </c>
      <c r="AG20" s="90">
        <v>1</v>
      </c>
      <c r="AH20" s="19">
        <f>G20+O20+X20</f>
        <v>0</v>
      </c>
      <c r="AI20" s="90">
        <f>AC20</f>
        <v>2</v>
      </c>
      <c r="AJ20" s="19">
        <f>H20+P20+Y20</f>
        <v>1</v>
      </c>
      <c r="AK20" s="100">
        <f t="shared" si="10"/>
        <v>15963149.280000001</v>
      </c>
      <c r="AL20" s="103">
        <f>I20+Q20+Z20</f>
        <v>15880882</v>
      </c>
      <c r="AM20" s="19">
        <f t="shared" si="11"/>
        <v>2</v>
      </c>
      <c r="AN20" s="95">
        <v>2</v>
      </c>
      <c r="AO20" s="27">
        <f t="shared" si="12"/>
        <v>0.5</v>
      </c>
      <c r="AP20" s="76">
        <f>IFERROR(
   IF(AND(AH20&lt;1,AF20&gt;=AE20),
      0.174,
      MIN(((AH20+AF20)/AE20)*0.2,20%)
   ),
   0
)</f>
        <v>6.6666666666666666E-2</v>
      </c>
      <c r="AQ20" s="76">
        <f t="shared" si="13"/>
        <v>0.05</v>
      </c>
      <c r="AR20" s="76">
        <f>IFERROR(IF(AND(AC20=0,AL20&gt;0),10%,MIN((AL20/AK20)*0.1,10%)),0)</f>
        <v>9.9484642544168445E-2</v>
      </c>
      <c r="AS20" s="77">
        <f t="shared" si="14"/>
        <v>0.1</v>
      </c>
      <c r="AT20" s="76">
        <f>IFERROR(AO20+AP20+AQ20+AR20+AS20,0)</f>
        <v>0.81615130921083512</v>
      </c>
      <c r="AU20" s="19" t="str" cm="1">
        <f t="array" ref="AU20">_xlfn.IFS(AT20&lt;60%,"C",AT20&gt;=60%,"B",AT20&gt;=80,"A")</f>
        <v>B</v>
      </c>
      <c r="AV20" s="27" cm="1">
        <f t="array" ref="AV20">_xlfn.IFS(AT20&gt;=80%,0.05,AT20&gt;=60%,0.03,AT20&lt;60%,0)</f>
        <v>0.05</v>
      </c>
      <c r="AW20" s="164"/>
      <c r="AX20" s="167"/>
      <c r="AY20" s="167"/>
    </row>
    <row r="21" spans="1:51">
      <c r="A21" s="161"/>
      <c r="B21" s="10" t="s">
        <v>63</v>
      </c>
      <c r="C21" s="41"/>
      <c r="D21" s="42"/>
      <c r="E21" s="42">
        <v>1</v>
      </c>
      <c r="F21" s="42">
        <v>2</v>
      </c>
      <c r="G21" s="42"/>
      <c r="H21" s="42"/>
      <c r="I21" s="133">
        <v>2783150</v>
      </c>
      <c r="J21" s="130"/>
      <c r="K21" s="42"/>
      <c r="L21" s="42"/>
      <c r="M21" s="42"/>
      <c r="N21" s="42"/>
      <c r="O21" s="42"/>
      <c r="P21" s="42"/>
      <c r="Q21" s="133"/>
      <c r="R21" s="128"/>
      <c r="S21" s="42"/>
      <c r="T21" s="19"/>
      <c r="U21" s="42"/>
      <c r="V21" s="42">
        <v>1</v>
      </c>
      <c r="W21" s="42"/>
      <c r="X21" s="42"/>
      <c r="Y21" s="42"/>
      <c r="Z21" s="133"/>
      <c r="AA21" s="42">
        <v>4</v>
      </c>
      <c r="AB21" s="90">
        <v>1</v>
      </c>
      <c r="AC21" s="95">
        <f>C21+D21+E21+K21+L21+M21+S21+U21+V21+T21</f>
        <v>2</v>
      </c>
      <c r="AD21" s="117">
        <f>99489562+73645940</f>
        <v>173135502</v>
      </c>
      <c r="AE21" s="90">
        <f>IF(AC21&lt;7,3,AC21)</f>
        <v>3</v>
      </c>
      <c r="AF21" s="19">
        <f>F21+N21+W21</f>
        <v>2</v>
      </c>
      <c r="AG21" s="90">
        <v>1</v>
      </c>
      <c r="AH21" s="19">
        <f>G21+O21+X21</f>
        <v>0</v>
      </c>
      <c r="AI21" s="90">
        <f t="shared" si="6"/>
        <v>2</v>
      </c>
      <c r="AJ21" s="19">
        <f>H21+P21+Y21</f>
        <v>0</v>
      </c>
      <c r="AK21" s="100">
        <f t="shared" si="10"/>
        <v>13850840.16</v>
      </c>
      <c r="AL21" s="103">
        <f>I21+Q21+Z21</f>
        <v>2783150</v>
      </c>
      <c r="AM21" s="19">
        <f t="shared" si="11"/>
        <v>2</v>
      </c>
      <c r="AN21" s="95">
        <f>J21+R21+AA21</f>
        <v>4</v>
      </c>
      <c r="AO21" s="27">
        <f t="shared" si="12"/>
        <v>0.5</v>
      </c>
      <c r="AP21" s="76">
        <f>IFERROR(
   IF(AND(AH21&lt;1,AF21&gt;=AE21),
      0.174,
      MIN(((AH21+AF21)/AE21)*0.2,20%)
   ),
   0
)</f>
        <v>0.13333333333333333</v>
      </c>
      <c r="AQ21" s="76">
        <f t="shared" si="13"/>
        <v>0</v>
      </c>
      <c r="AR21" s="76">
        <f>IFERROR(IF(AND(AC21=0,AL21&gt;0),10%,MIN((AL21/AK21)*0.1,10%)),0)</f>
        <v>2.0093726935334153E-2</v>
      </c>
      <c r="AS21" s="77">
        <f t="shared" si="14"/>
        <v>0.1</v>
      </c>
      <c r="AT21" s="76">
        <f>IFERROR(AO21+AP21+AQ21+AR21+AS21,0)</f>
        <v>0.75342706026866746</v>
      </c>
      <c r="AU21" s="19" t="str" cm="1">
        <f t="array" ref="AU21">_xlfn.IFS(AT21&lt;60%,"C",AT21&gt;=60%,"B",AT21&gt;=80,"A")</f>
        <v>B</v>
      </c>
      <c r="AV21" s="27" cm="1">
        <f t="array" ref="AV21">_xlfn.IFS(AT21&gt;=80%,0.05,AT21&gt;=60%,0.03,AT21&lt;60%,0)</f>
        <v>0.03</v>
      </c>
      <c r="AW21" s="164"/>
      <c r="AX21" s="167"/>
      <c r="AY21" s="167"/>
    </row>
    <row r="22" spans="1:51">
      <c r="A22" s="161"/>
      <c r="B22" s="10" t="s">
        <v>50</v>
      </c>
      <c r="C22" s="42">
        <v>1</v>
      </c>
      <c r="D22" s="42"/>
      <c r="E22" s="42">
        <v>1</v>
      </c>
      <c r="F22" s="42"/>
      <c r="G22" s="42"/>
      <c r="H22" s="42"/>
      <c r="I22" s="133">
        <v>9004384</v>
      </c>
      <c r="J22" s="42"/>
      <c r="K22" s="41"/>
      <c r="L22" s="42"/>
      <c r="M22" s="42">
        <v>1</v>
      </c>
      <c r="N22" s="42"/>
      <c r="O22" s="42"/>
      <c r="P22" s="42"/>
      <c r="Q22" s="133">
        <v>2059166</v>
      </c>
      <c r="R22" s="127"/>
      <c r="S22" s="41"/>
      <c r="T22" s="19">
        <v>1</v>
      </c>
      <c r="U22" s="42"/>
      <c r="V22" s="42"/>
      <c r="W22" s="42">
        <v>1</v>
      </c>
      <c r="X22" s="42">
        <v>1</v>
      </c>
      <c r="Y22" s="42"/>
      <c r="Z22" s="133">
        <v>8829108</v>
      </c>
      <c r="AA22" s="42">
        <v>4</v>
      </c>
      <c r="AB22" s="90">
        <v>1</v>
      </c>
      <c r="AC22" s="95">
        <f>C22+D22+E22+K22+L22+M22+S22+U22+V22+T22</f>
        <v>4</v>
      </c>
      <c r="AD22" s="117">
        <f>76581699+87084638+70719774</f>
        <v>234386111</v>
      </c>
      <c r="AE22" s="90">
        <f>IF(AC22&lt;7,3,AC22)</f>
        <v>3</v>
      </c>
      <c r="AF22" s="19">
        <f>F22+N22+W22</f>
        <v>1</v>
      </c>
      <c r="AG22" s="90">
        <v>1</v>
      </c>
      <c r="AH22" s="19">
        <f>G22+O22+X22</f>
        <v>1</v>
      </c>
      <c r="AI22" s="90">
        <f t="shared" si="6"/>
        <v>4</v>
      </c>
      <c r="AJ22" s="19">
        <f>H22+P22+Y22</f>
        <v>0</v>
      </c>
      <c r="AK22" s="100">
        <f t="shared" si="10"/>
        <v>18750888.879999999</v>
      </c>
      <c r="AL22" s="103">
        <f>I22+Q22+Z22</f>
        <v>19892658</v>
      </c>
      <c r="AM22" s="19">
        <f t="shared" si="11"/>
        <v>4</v>
      </c>
      <c r="AN22" s="95">
        <f>J22+R22+AA22</f>
        <v>4</v>
      </c>
      <c r="AO22" s="27">
        <f t="shared" si="12"/>
        <v>0.5</v>
      </c>
      <c r="AP22" s="76">
        <f>IFERROR(
   IF(AND(AH22&lt;1,AF22&gt;=AE22),
      0.174,
      MIN(((AH22+AF22)/AE22)*0.2,20%)
   ),
   0
)</f>
        <v>0.13333333333333333</v>
      </c>
      <c r="AQ22" s="76">
        <f t="shared" si="13"/>
        <v>0</v>
      </c>
      <c r="AR22" s="76">
        <f>IFERROR(IF(AND(AC22=0,AL22&gt;0),10%,MIN((AL22/AK22)*0.1,10%)),0)</f>
        <v>0.1</v>
      </c>
      <c r="AS22" s="77">
        <f t="shared" si="14"/>
        <v>0.1</v>
      </c>
      <c r="AT22" s="76">
        <f>IFERROR(AO22+AP22+AQ22+AR22+AS22,0)</f>
        <v>0.83333333333333326</v>
      </c>
      <c r="AU22" s="19" t="str" cm="1">
        <f t="array" ref="AU22">_xlfn.IFS(AT22&lt;60%,"C",AT22&gt;=60%,"B",AT22&gt;=80,"A")</f>
        <v>B</v>
      </c>
      <c r="AV22" s="27" cm="1">
        <f t="array" ref="AV22">_xlfn.IFS(AT22&gt;=80%,0.05,AT22&gt;=60%,0.03,AT22&lt;60%,0)</f>
        <v>0.05</v>
      </c>
      <c r="AW22" s="164"/>
      <c r="AX22" s="167"/>
      <c r="AY22" s="167"/>
    </row>
    <row r="23" spans="1:51" ht="15" customHeight="1">
      <c r="A23" s="161"/>
      <c r="B23" s="10" t="s">
        <v>64</v>
      </c>
      <c r="C23" s="42"/>
      <c r="D23" s="42"/>
      <c r="E23" s="42"/>
      <c r="F23" s="42"/>
      <c r="G23" s="42"/>
      <c r="H23" s="42">
        <v>5</v>
      </c>
      <c r="I23" s="134"/>
      <c r="J23" s="42"/>
      <c r="K23" s="41"/>
      <c r="L23" s="42"/>
      <c r="M23" s="42"/>
      <c r="N23" s="42">
        <v>1</v>
      </c>
      <c r="O23" s="42"/>
      <c r="P23" s="42"/>
      <c r="Q23" s="133"/>
      <c r="R23" s="127"/>
      <c r="S23" s="41"/>
      <c r="T23" s="19"/>
      <c r="U23" s="42"/>
      <c r="V23" s="42"/>
      <c r="W23" s="42"/>
      <c r="X23" s="42"/>
      <c r="Y23" s="42"/>
      <c r="Z23" s="133"/>
      <c r="AA23" s="42"/>
      <c r="AB23" s="90">
        <v>1</v>
      </c>
      <c r="AC23" s="95">
        <f>C23+D23+E23+K23+L23+M23+S23+U23+V23+T23</f>
        <v>0</v>
      </c>
      <c r="AD23" s="66"/>
      <c r="AE23" s="90">
        <f>IF(AC23&lt;7,3,AC23)</f>
        <v>3</v>
      </c>
      <c r="AF23" s="19">
        <f>F23+N23+W23</f>
        <v>1</v>
      </c>
      <c r="AG23" s="90">
        <v>1</v>
      </c>
      <c r="AH23" s="19">
        <f>G23+O23+X23</f>
        <v>0</v>
      </c>
      <c r="AI23" s="90">
        <f t="shared" si="6"/>
        <v>0</v>
      </c>
      <c r="AJ23" s="19">
        <f>H23+P23+Y23</f>
        <v>5</v>
      </c>
      <c r="AK23" s="100">
        <f t="shared" si="10"/>
        <v>0</v>
      </c>
      <c r="AL23" s="103">
        <f>I23+Q23+Z23</f>
        <v>0</v>
      </c>
      <c r="AM23" s="19">
        <f t="shared" si="11"/>
        <v>0</v>
      </c>
      <c r="AN23" s="95">
        <f>J23+R23+AA23</f>
        <v>0</v>
      </c>
      <c r="AO23" s="27">
        <f t="shared" si="12"/>
        <v>0</v>
      </c>
      <c r="AP23" s="76">
        <f>IFERROR(
   IF(AND(AH23&lt;1,AF23&gt;=AE23),
      0.174,
      MIN(((AH23+AF23)/AE23)*0.2,20%)
   ),
   0
)</f>
        <v>6.6666666666666666E-2</v>
      </c>
      <c r="AQ23" s="76">
        <f t="shared" si="13"/>
        <v>0.1</v>
      </c>
      <c r="AR23" s="76">
        <f>IFERROR(IF(AND(AC23=0,AL23&gt;0),10%,MIN((AL23/AK23)*0.1,10%)),0)</f>
        <v>0</v>
      </c>
      <c r="AS23" s="77">
        <f t="shared" si="14"/>
        <v>0.1</v>
      </c>
      <c r="AT23" s="76">
        <f>IFERROR(AO23+AP23+AQ23+AR23+AS23,0)</f>
        <v>0.26666666666666672</v>
      </c>
      <c r="AU23" s="19" t="str" cm="1">
        <f t="array" ref="AU23">_xlfn.IFS(AT23&lt;60%,"C",AT23&gt;=60%,"B",AT23&gt;=80,"A")</f>
        <v>C</v>
      </c>
      <c r="AV23" s="27" cm="1">
        <f t="array" ref="AV23">_xlfn.IFS(AT23&gt;=80%,0.05,AT23&gt;=60%,0.03,AT23&lt;60%,0)</f>
        <v>0</v>
      </c>
      <c r="AW23" s="164"/>
      <c r="AX23" s="167"/>
      <c r="AY23" s="167"/>
    </row>
    <row r="24" spans="1:51">
      <c r="A24" s="161"/>
      <c r="B24" s="10" t="s">
        <v>66</v>
      </c>
      <c r="C24" s="42"/>
      <c r="D24" s="42"/>
      <c r="E24" s="42"/>
      <c r="F24" s="42"/>
      <c r="G24" s="42"/>
      <c r="H24" s="42">
        <v>2</v>
      </c>
      <c r="I24" s="134"/>
      <c r="J24" s="42"/>
      <c r="K24" s="41"/>
      <c r="L24" s="42"/>
      <c r="M24" s="42"/>
      <c r="N24" s="42"/>
      <c r="O24" s="42"/>
      <c r="P24" s="42"/>
      <c r="Q24" s="133">
        <v>3942541</v>
      </c>
      <c r="R24" s="127"/>
      <c r="S24" s="41"/>
      <c r="T24" s="19"/>
      <c r="U24" s="42">
        <v>1</v>
      </c>
      <c r="V24" s="42"/>
      <c r="W24" s="42">
        <v>1</v>
      </c>
      <c r="X24" s="42">
        <v>1</v>
      </c>
      <c r="Y24" s="42"/>
      <c r="Z24" s="133">
        <v>2012143</v>
      </c>
      <c r="AA24" s="42">
        <v>1</v>
      </c>
      <c r="AB24" s="90">
        <v>1</v>
      </c>
      <c r="AC24" s="95">
        <f>C24+D24+E24+K24+L24+M24+S24+U24+V24+T24</f>
        <v>1</v>
      </c>
      <c r="AD24" s="117"/>
      <c r="AE24" s="90">
        <f>IF(AC24&lt;7,3,AC24)</f>
        <v>3</v>
      </c>
      <c r="AF24" s="19">
        <f>F24+N24+W24</f>
        <v>1</v>
      </c>
      <c r="AG24" s="90">
        <v>1</v>
      </c>
      <c r="AH24" s="19">
        <f>G24+O24+X24</f>
        <v>1</v>
      </c>
      <c r="AI24" s="90">
        <f t="shared" si="6"/>
        <v>1</v>
      </c>
      <c r="AJ24" s="19">
        <f>H24+P24+Y24</f>
        <v>2</v>
      </c>
      <c r="AK24" s="100">
        <f t="shared" si="10"/>
        <v>0</v>
      </c>
      <c r="AL24" s="103">
        <f>I24+Q24+Z24</f>
        <v>5954684</v>
      </c>
      <c r="AM24" s="19">
        <f t="shared" si="11"/>
        <v>1</v>
      </c>
      <c r="AN24" s="95">
        <f>J24+R24+AA24</f>
        <v>1</v>
      </c>
      <c r="AO24" s="27">
        <f t="shared" si="12"/>
        <v>0.5</v>
      </c>
      <c r="AP24" s="76">
        <f>IFERROR(
   IF(AND(AH24&lt;1,AF24&gt;=AE24),
      0.174,
      MIN(((AH24+AF24)/AE24)*0.2,20%)
   ),
   0
)</f>
        <v>0.13333333333333333</v>
      </c>
      <c r="AQ24" s="76">
        <f t="shared" si="13"/>
        <v>0.1</v>
      </c>
      <c r="AR24" s="76">
        <f>IFERROR(IF(AND(AC24=0,AL24&gt;0),10%,MIN((AL24/AK24)*0.1,10%)),0)</f>
        <v>0</v>
      </c>
      <c r="AS24" s="77">
        <f t="shared" si="14"/>
        <v>0.1</v>
      </c>
      <c r="AT24" s="76">
        <f>IFERROR(AO24+AP24+AQ24+AR24+AS24,0)</f>
        <v>0.83333333333333326</v>
      </c>
      <c r="AU24" s="19" t="str" cm="1">
        <f t="array" ref="AU24">_xlfn.IFS(AT24&lt;60%,"C",AT24&gt;=60%,"B",AT24&gt;=80,"A")</f>
        <v>B</v>
      </c>
      <c r="AV24" s="27" cm="1">
        <f t="array" ref="AV24">_xlfn.IFS(AT24&gt;=80%,0.05,AT24&gt;=60%,0.03,AT24&lt;60%,0)</f>
        <v>0.05</v>
      </c>
      <c r="AW24" s="164"/>
      <c r="AX24" s="167"/>
      <c r="AY24" s="167"/>
    </row>
    <row r="25" spans="1:51">
      <c r="A25" s="162"/>
      <c r="B25" s="10" t="s">
        <v>53</v>
      </c>
      <c r="C25" s="42"/>
      <c r="D25" s="42"/>
      <c r="E25" s="42"/>
      <c r="F25" s="42"/>
      <c r="G25" s="42"/>
      <c r="H25" s="42"/>
      <c r="I25" s="133">
        <v>755968</v>
      </c>
      <c r="J25" s="42"/>
      <c r="K25" s="126"/>
      <c r="L25" s="127"/>
      <c r="M25" s="127"/>
      <c r="N25" s="127"/>
      <c r="O25" s="127"/>
      <c r="P25" s="42"/>
      <c r="Q25" s="133"/>
      <c r="R25" s="127"/>
      <c r="S25" s="41"/>
      <c r="T25" s="19"/>
      <c r="U25" s="42"/>
      <c r="V25" s="42"/>
      <c r="W25" s="42"/>
      <c r="X25" s="42"/>
      <c r="Y25" s="42"/>
      <c r="Z25" s="133">
        <v>95388</v>
      </c>
      <c r="AA25" s="42"/>
      <c r="AB25" s="118">
        <v>1</v>
      </c>
      <c r="AC25" s="95">
        <f>C25+D25+E25+K25+L25+M25+S25+U25+V25+T25</f>
        <v>0</v>
      </c>
      <c r="AD25" s="117"/>
      <c r="AE25" s="118">
        <f>IF(AC25&lt;7,3,AC25)</f>
        <v>3</v>
      </c>
      <c r="AF25" s="19">
        <f>F25+N25+W25</f>
        <v>0</v>
      </c>
      <c r="AG25" s="118">
        <v>1</v>
      </c>
      <c r="AH25" s="19">
        <f>G25+O25+X25</f>
        <v>0</v>
      </c>
      <c r="AI25" s="118">
        <f t="shared" si="6"/>
        <v>0</v>
      </c>
      <c r="AJ25" s="137">
        <f>H25+P25+Y25</f>
        <v>0</v>
      </c>
      <c r="AK25" s="100">
        <f t="shared" si="10"/>
        <v>0</v>
      </c>
      <c r="AL25" s="103">
        <f>I25+Q25+Z25</f>
        <v>851356</v>
      </c>
      <c r="AM25" s="19">
        <f t="shared" si="11"/>
        <v>0</v>
      </c>
      <c r="AN25" s="95">
        <f>J25+R25+AA25</f>
        <v>0</v>
      </c>
      <c r="AO25" s="27">
        <f t="shared" si="12"/>
        <v>0</v>
      </c>
      <c r="AP25" s="76">
        <f>IFERROR(
   IF(AND(AH25&lt;1,AF25&gt;=AE25),
      0.174,
      MIN(((AH25+AF25)/AE25)*0.2,20%)
   ),
   0
)</f>
        <v>0</v>
      </c>
      <c r="AQ25" s="76">
        <f t="shared" si="13"/>
        <v>0.1</v>
      </c>
      <c r="AR25" s="76">
        <f>IFERROR(IF(AND(AC25=0,AL25&gt;0),10%,MIN((AL25/AK25)*0.1,10%)),0)</f>
        <v>0.1</v>
      </c>
      <c r="AS25" s="77">
        <f t="shared" si="14"/>
        <v>0.1</v>
      </c>
      <c r="AT25" s="76">
        <f>IFERROR(AO25+AP25+AQ25+AR25+AS25,0)</f>
        <v>0.30000000000000004</v>
      </c>
      <c r="AU25" s="19" t="str" cm="1">
        <f t="array" ref="AU25">_xlfn.IFS(AT25&lt;60%,"C",AT25&gt;=60%,"B",AT25&gt;=80,"A")</f>
        <v>C</v>
      </c>
      <c r="AV25" s="27" cm="1">
        <f t="array" ref="AV25">_xlfn.IFS(AT25&gt;=80%,0.05,AT25&gt;=60%,0.03,AT25&lt;60%,0)</f>
        <v>0</v>
      </c>
      <c r="AW25" s="165"/>
      <c r="AX25" s="168"/>
      <c r="AY25" s="168"/>
    </row>
    <row r="26" spans="1:51">
      <c r="C26" s="85">
        <f>SUM(C4:C25)</f>
        <v>1</v>
      </c>
      <c r="D26" s="85">
        <f t="shared" ref="D26:E26" si="15">SUM(D4:D25)</f>
        <v>2</v>
      </c>
      <c r="E26" s="85">
        <f t="shared" si="15"/>
        <v>5</v>
      </c>
      <c r="K26" s="86">
        <f>SUM(K4:K25)</f>
        <v>0</v>
      </c>
      <c r="L26" s="86">
        <f>SUM(L4:L25)</f>
        <v>1</v>
      </c>
      <c r="M26" s="86">
        <f>SUM(M4:M25)</f>
        <v>4</v>
      </c>
      <c r="S26" s="157">
        <f>SUM(S4:S25)</f>
        <v>1</v>
      </c>
      <c r="T26" s="157">
        <f t="shared" ref="T26:V26" si="16">SUM(T4:T25)</f>
        <v>11</v>
      </c>
      <c r="U26" s="157">
        <f t="shared" si="16"/>
        <v>23</v>
      </c>
      <c r="V26" s="157">
        <f t="shared" si="16"/>
        <v>9</v>
      </c>
      <c r="AB26" s="87">
        <f>SUM(AB5:AB25)</f>
        <v>21</v>
      </c>
      <c r="AC26" s="87">
        <f>SUM(AC4:AC25)</f>
        <v>57</v>
      </c>
      <c r="AE26" s="136">
        <f>SUM(AE5:AE25)</f>
        <v>80</v>
      </c>
      <c r="AF26" s="143">
        <f>SUM(AF5:AF25)</f>
        <v>21</v>
      </c>
      <c r="AG26" s="136">
        <f>SUM(AG5:AG25)</f>
        <v>21</v>
      </c>
      <c r="AH26" s="144">
        <f>SUM(AH5:AH25)</f>
        <v>7</v>
      </c>
      <c r="AI26" s="136">
        <f t="shared" ref="AI26:AN26" si="17">SUM(AI5:AI25)</f>
        <v>51</v>
      </c>
      <c r="AJ26" s="144">
        <f t="shared" si="17"/>
        <v>14</v>
      </c>
      <c r="AK26" s="140">
        <f t="shared" si="17"/>
        <v>240048924.45280001</v>
      </c>
      <c r="AL26" s="145">
        <f t="shared" si="17"/>
        <v>254412076</v>
      </c>
      <c r="AM26" s="136">
        <f>SUM(AM5:AM25)</f>
        <v>51</v>
      </c>
      <c r="AN26" s="144">
        <f t="shared" si="17"/>
        <v>20</v>
      </c>
    </row>
    <row r="27" spans="1:51">
      <c r="C27" s="181">
        <f>SUM(C26:E26)</f>
        <v>8</v>
      </c>
      <c r="D27" s="181"/>
      <c r="E27" s="181"/>
      <c r="K27" s="181">
        <f>SUM(K26:M26)</f>
        <v>5</v>
      </c>
      <c r="L27" s="181"/>
      <c r="M27" s="181"/>
      <c r="S27" s="181">
        <f>SUM(S26:V26)</f>
        <v>44</v>
      </c>
      <c r="T27" s="181"/>
      <c r="U27" s="181"/>
      <c r="V27" s="181"/>
    </row>
    <row r="30" spans="1:51">
      <c r="AD30" s="153"/>
    </row>
    <row r="35" spans="16:16">
      <c r="P35" s="149"/>
    </row>
    <row r="36" spans="16:16">
      <c r="P36" s="73"/>
    </row>
  </sheetData>
  <sheetProtection sheet="1" objects="1" scenarios="1"/>
  <mergeCells count="62">
    <mergeCell ref="AO1:AS1"/>
    <mergeCell ref="AT1:AV1"/>
    <mergeCell ref="S2:V2"/>
    <mergeCell ref="Z2:Z3"/>
    <mergeCell ref="AW1:AY1"/>
    <mergeCell ref="S1:AA1"/>
    <mergeCell ref="AB1:AN1"/>
    <mergeCell ref="AJ2:AJ3"/>
    <mergeCell ref="AK2:AK3"/>
    <mergeCell ref="AL2:AL3"/>
    <mergeCell ref="AM2:AM3"/>
    <mergeCell ref="AA2:AA3"/>
    <mergeCell ref="AB2:AB3"/>
    <mergeCell ref="AW2:AW4"/>
    <mergeCell ref="AX2:AX4"/>
    <mergeCell ref="AY2:AY4"/>
    <mergeCell ref="A2:A3"/>
    <mergeCell ref="B2:B3"/>
    <mergeCell ref="C2:E2"/>
    <mergeCell ref="F2:F3"/>
    <mergeCell ref="G2:G3"/>
    <mergeCell ref="C1:J1"/>
    <mergeCell ref="K1:R1"/>
    <mergeCell ref="N2:N3"/>
    <mergeCell ref="O2:O3"/>
    <mergeCell ref="P2:P3"/>
    <mergeCell ref="Q2:Q3"/>
    <mergeCell ref="R2:R3"/>
    <mergeCell ref="C27:E27"/>
    <mergeCell ref="K27:M27"/>
    <mergeCell ref="S27:V27"/>
    <mergeCell ref="AU2:AU3"/>
    <mergeCell ref="W2:W3"/>
    <mergeCell ref="X2:X3"/>
    <mergeCell ref="Y2:Y3"/>
    <mergeCell ref="AO2:AO3"/>
    <mergeCell ref="AP2:AP3"/>
    <mergeCell ref="AQ2:AQ3"/>
    <mergeCell ref="AR2:AR3"/>
    <mergeCell ref="AS2:AS3"/>
    <mergeCell ref="H2:H3"/>
    <mergeCell ref="I2:I3"/>
    <mergeCell ref="J2:J3"/>
    <mergeCell ref="K2:M2"/>
    <mergeCell ref="AV2:AV3"/>
    <mergeCell ref="AN2:AN3"/>
    <mergeCell ref="AC2:AC3"/>
    <mergeCell ref="AD2:AD3"/>
    <mergeCell ref="AE2:AE3"/>
    <mergeCell ref="AF2:AF3"/>
    <mergeCell ref="AG2:AG3"/>
    <mergeCell ref="AH2:AH3"/>
    <mergeCell ref="AI2:AI3"/>
    <mergeCell ref="AT2:AT3"/>
    <mergeCell ref="AX5:AX14"/>
    <mergeCell ref="AY5:AY14"/>
    <mergeCell ref="A16:A25"/>
    <mergeCell ref="AW16:AW25"/>
    <mergeCell ref="AX16:AX25"/>
    <mergeCell ref="AY16:AY25"/>
    <mergeCell ref="A5:A15"/>
    <mergeCell ref="AW5:AW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andres gonzaga hernandez</cp:lastModifiedBy>
  <cp:revision/>
  <dcterms:created xsi:type="dcterms:W3CDTF">2026-02-02T21:28:30Z</dcterms:created>
  <dcterms:modified xsi:type="dcterms:W3CDTF">2026-10-01T18:38:10Z</dcterms:modified>
  <cp:category/>
  <cp:contentStatus/>
</cp:coreProperties>
</file>