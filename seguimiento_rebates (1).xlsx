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COL\Desktop\Documentos\"/>
    </mc:Choice>
  </mc:AlternateContent>
  <bookViews>
    <workbookView xWindow="0" yWindow="0" windowWidth="23040" windowHeight="9720" tabRatio="500" activeTab="1"/>
  </bookViews>
  <sheets>
    <sheet name="REBATE " sheetId="2" r:id="rId1"/>
    <sheet name="Rebates" sheetId="1" r:id="rId2"/>
    <sheet name="ENTREGA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J6" i="1"/>
  <c r="J11" i="1" l="1"/>
  <c r="E11" i="1" l="1"/>
  <c r="H14" i="1" l="1"/>
  <c r="H13" i="1"/>
  <c r="J13" i="1" s="1"/>
  <c r="H11" i="1"/>
  <c r="H10" i="1"/>
  <c r="H8" i="1"/>
  <c r="H6" i="1"/>
  <c r="J10" i="1"/>
  <c r="J8" i="1"/>
  <c r="D10" i="1"/>
  <c r="F10" i="1" s="1"/>
  <c r="D8" i="1"/>
  <c r="F8" i="1" s="1"/>
  <c r="D12" i="1"/>
  <c r="F12" i="1" s="1"/>
  <c r="D11" i="1"/>
  <c r="F11" i="1" s="1"/>
  <c r="J7" i="1"/>
  <c r="J14" i="1"/>
  <c r="R15" i="1"/>
  <c r="N15" i="1"/>
  <c r="J15" i="1"/>
  <c r="F15" i="1"/>
  <c r="R14" i="1"/>
  <c r="N14" i="1"/>
  <c r="F14" i="1"/>
  <c r="R13" i="1"/>
  <c r="N13" i="1"/>
  <c r="F13" i="1"/>
  <c r="R12" i="1"/>
  <c r="N12" i="1"/>
  <c r="J12" i="1"/>
  <c r="R11" i="1"/>
  <c r="N11" i="1"/>
  <c r="R10" i="1"/>
  <c r="N10" i="1"/>
  <c r="R9" i="1"/>
  <c r="N9" i="1"/>
  <c r="J9" i="1"/>
  <c r="F9" i="1"/>
  <c r="R8" i="1"/>
  <c r="N8" i="1"/>
  <c r="R7" i="1"/>
  <c r="N7" i="1"/>
  <c r="F7" i="1"/>
  <c r="R6" i="1"/>
  <c r="N6" i="1"/>
</calcChain>
</file>

<file path=xl/comments1.xml><?xml version="1.0" encoding="utf-8"?>
<comments xmlns="http://schemas.openxmlformats.org/spreadsheetml/2006/main">
  <authors>
    <author>DICOL</author>
  </authors>
  <commentList>
    <comment ref="C12" authorId="0" shapeId="0">
      <text>
        <r>
          <rPr>
            <b/>
            <sz val="9"/>
            <color indexed="81"/>
            <rFont val="Tahoma"/>
            <charset val="1"/>
          </rPr>
          <t>DICOL:</t>
        </r>
        <r>
          <rPr>
            <sz val="9"/>
            <color indexed="81"/>
            <rFont val="Tahoma"/>
            <charset val="1"/>
          </rPr>
          <t xml:space="preserve">
Pendiente 7% de margen 5 t70p y 1 T100 (solo drones)
</t>
        </r>
      </text>
    </comment>
  </commentList>
</comments>
</file>

<file path=xl/sharedStrings.xml><?xml version="1.0" encoding="utf-8"?>
<sst xmlns="http://schemas.openxmlformats.org/spreadsheetml/2006/main" count="175" uniqueCount="86">
  <si>
    <t>SEGUIMIENTO DE REBATES POR ALIADO</t>
  </si>
  <si>
    <t>ESPECIALISTA</t>
  </si>
  <si>
    <t>ALIADO</t>
  </si>
  <si>
    <t>Q1</t>
  </si>
  <si>
    <t>Q2</t>
  </si>
  <si>
    <t>Q3</t>
  </si>
  <si>
    <t>Q4</t>
  </si>
  <si>
    <t>Resul. Ventas</t>
  </si>
  <si>
    <t>% Rebate Calculado</t>
  </si>
  <si>
    <t>% Rebate Aplicado</t>
  </si>
  <si>
    <t>Diferencia</t>
  </si>
  <si>
    <t>MANUEL ALEJANDRO CHAVARRO ARTEAGA</t>
  </si>
  <si>
    <t>HELIDRONES</t>
  </si>
  <si>
    <t>INNOVA DRON</t>
  </si>
  <si>
    <t>SERVIINOVA</t>
  </si>
  <si>
    <t>AGROETEK</t>
  </si>
  <si>
    <t>DRONMAG</t>
  </si>
  <si>
    <t>MAPAGRO</t>
  </si>
  <si>
    <t>SAF</t>
  </si>
  <si>
    <t>ADN AGRICULTURA</t>
  </si>
  <si>
    <t>RURAL TECH</t>
  </si>
  <si>
    <t>AGROSMART</t>
  </si>
  <si>
    <t>% Rebate Ganado</t>
  </si>
  <si>
    <t>% Rebate Aplicado Q2</t>
  </si>
  <si>
    <t>% Rebate Aplicado Q3</t>
  </si>
  <si>
    <t>RESUL. VENTAS Q1</t>
  </si>
  <si>
    <t>% REBATE</t>
  </si>
  <si>
    <t>RESUL. VENTAS Q2</t>
  </si>
  <si>
    <t>COTIZACIÓN</t>
  </si>
  <si>
    <t>DRON</t>
  </si>
  <si>
    <t>PENDIENTE</t>
  </si>
  <si>
    <t>OBSERVACIÓN</t>
  </si>
  <si>
    <t>ING. CHAVARRO</t>
  </si>
  <si>
    <t>COT3434</t>
  </si>
  <si>
    <t>T100</t>
  </si>
  <si>
    <t>NADA</t>
  </si>
  <si>
    <t>SIN REBATE (nacional, margen 15%)
Baterias (importadas, margen normal 22%)
Generador (nacional, margen 15%)</t>
  </si>
  <si>
    <t>COT3435</t>
  </si>
  <si>
    <t>T70P</t>
  </si>
  <si>
    <t>TANQUE DE SOLIDOS</t>
  </si>
  <si>
    <t>SIN REBATE (Nacional, margen 15%
Baterias (importadas, margen normal 22%)
Sin generador</t>
  </si>
  <si>
    <t>CO3436</t>
  </si>
  <si>
    <t>COT3522</t>
  </si>
  <si>
    <t>COT3536</t>
  </si>
  <si>
    <t>SIN REBATE (Nacional, margen 15%
Baterias (importadas, margen normal 22% + descuento por AGROEXPO)
Sin generador</t>
  </si>
  <si>
    <t>COT3729</t>
  </si>
  <si>
    <t>JUEGO DE BOQUILLAS</t>
  </si>
  <si>
    <t>N/A</t>
  </si>
  <si>
    <t>DEMO</t>
  </si>
  <si>
    <t>TERMINAR DE VALIDAR EVIDENCIAS DE DEMOSTRACIONES SUBIDAS EN Q1</t>
  </si>
  <si>
    <t>APOYO DEMO</t>
  </si>
  <si>
    <t>PRUEBA MAVIC 3M CON ÁRBOL FRUTAL (NO TIENEN FECHA PROGRAMADA)</t>
  </si>
  <si>
    <t>CONTACTOS</t>
  </si>
  <si>
    <t>MARLY CEL: 3103274290; BRANDON MORENO CEL: 3143144760</t>
  </si>
  <si>
    <t>PROGEN</t>
  </si>
  <si>
    <r>
      <t>DEMOSTRACIÓN MAVIC 3M CON ÁRBOL FRUTAL (</t>
    </r>
    <r>
      <rPr>
        <sz val="11"/>
        <color rgb="FFFF0000"/>
        <rFont val="Calibri"/>
        <family val="2"/>
        <scheme val="minor"/>
      </rPr>
      <t>NO TIENEN FECHA PROGRAMADA</t>
    </r>
    <r>
      <rPr>
        <sz val="11"/>
        <color theme="1"/>
        <rFont val="Calibri"/>
        <family val="2"/>
        <charset val="1"/>
      </rPr>
      <t>)</t>
    </r>
  </si>
  <si>
    <t>COT3276</t>
  </si>
  <si>
    <t>BOQUILLAS ADICIONALES</t>
  </si>
  <si>
    <t>SIN REBATE
T70P SE DEBE DEVOLVER EL OBSEQUIO DE BOQUILLAS ADICIONALES</t>
  </si>
  <si>
    <t>JORGE BETANCOUR CEL:3123549234; BRITNEY CEL: 3125735139</t>
  </si>
  <si>
    <t>DOCUMENTOS PENDIENTES</t>
  </si>
  <si>
    <t>• ACUERDO DE CONFIDENCIALIDAD
• AVISO DE PRIVACIDAD Y AUTORIZACIÓN EXPRESA PARA EL TRATAMIENTO DE DATOS PERSONALES
• FORMATO ÚNICO DE CONOCIMIENTO DEL CLIENTE
• COPIA DE LA CÉDULA DE CIUDADANÍA DEL REPRESENTANTE LEGAL</t>
  </si>
  <si>
    <t>RURALTECH</t>
  </si>
  <si>
    <t>FALTA LOCAL Y FIRMA CONTRATO</t>
  </si>
  <si>
    <t>ALIADO NUEVO - REUNIÓN DJI - FALTA COMPLETAR SU CONTRATO Y ADECUACIÓN DEL LOCAL, SE DIO UN PLAZO DE MÁS O MENOS 3 MESES</t>
  </si>
  <si>
    <t>COT3644</t>
  </si>
  <si>
    <t>TANQUE DE SOLIDOS + DRON</t>
  </si>
  <si>
    <t>SIN REBATE T70P (Nacional, margen 15%
Baterias (importadas, margen 15%)
Sin generador</t>
  </si>
  <si>
    <t xml:space="preserve">• CONTRATO 
• AVISO DE PRIVACIDAD Y AUTORIZACIÓN EXPRESA PARA EL TRATAMIENTO DE DATOS PERSONALES
• FORMATO ÚNICO DE CONOCIMIENTO DEL CLIENTE
• COPIA DE LA CÉDULA DE CIUDADANÍA DEL REPRESENTANTE LEGAL  •ACUERDO DE CONFIDENCIALIDAD •DOCUMENTOS CHINA </t>
  </si>
  <si>
    <t>APERTURA LOCAL (3 MESES DE PLAZO)  Y COMPRA DE 1 EQUIPO MÁS</t>
  </si>
  <si>
    <t>ING. WILMER</t>
  </si>
  <si>
    <t>ACRE</t>
  </si>
  <si>
    <t>COT-3680</t>
  </si>
  <si>
    <t>SIN REBATE
T70P (Nacional, margen 15%
Baterias (importadas, margen normal 22%)
Sin generador, cable 2100 con margen 
22%
NO SE DEBE OBSEQUIO</t>
  </si>
  <si>
    <t>COT3568</t>
  </si>
  <si>
    <t>T25P</t>
  </si>
  <si>
    <t>ENTREGAR 2 EQUIPOS CON ACCESORIOS</t>
  </si>
  <si>
    <t>SIN REBATE (MARGEN 22%) - YA ESTA FACTURADO Y FALTA ENTREGAR EQUIPOS</t>
  </si>
  <si>
    <t xml:space="preserve">LAURA PINZON CEL ; JAMES RAMIREZ CEL: </t>
  </si>
  <si>
    <t>ADN</t>
  </si>
  <si>
    <t xml:space="preserve">PRUEBAS DE SISTEMA DE CARGA Y SISTEMA DE PULVERIZACION (FALTA PROGRAMAR AGENDA DE DICOL) </t>
  </si>
  <si>
    <t>DEMO EN LARK RECHAZADA</t>
  </si>
  <si>
    <t>AJUSTAR LA FOTO (5 PERSONAS)</t>
  </si>
  <si>
    <t>LOCAL ADECUADO</t>
  </si>
  <si>
    <t>QUIEREN CAMBIARSE DE UBICACIÓN</t>
  </si>
  <si>
    <t>DOMINGO CEL: 3184933058 ; JUAN LONDOÑO CEL: 3214381470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</si>
</sst>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;[Red]\-&quot;$&quot;\ #,##0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1F4E1F"/>
      <name val="Arial"/>
      <family val="2"/>
    </font>
    <font>
      <i/>
      <sz val="10"/>
      <color rgb="FF555555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DEBF7"/>
      </patternFill>
    </fill>
    <fill>
      <patternFill patternType="solid">
        <fgColor rgb="FFA9D08E"/>
        <bgColor rgb="FF99CCFF"/>
      </patternFill>
    </fill>
    <fill>
      <patternFill patternType="solid">
        <fgColor rgb="FFDDEBF7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CFAE1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69CF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CFCE8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 wrapText="1"/>
    </xf>
    <xf numFmtId="9" fontId="6" fillId="8" borderId="1" xfId="0" applyNumberFormat="1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0" xfId="1"/>
    <xf numFmtId="0" fontId="13" fillId="12" borderId="4" xfId="1" applyFont="1" applyFill="1" applyBorder="1"/>
    <xf numFmtId="0" fontId="1" fillId="0" borderId="4" xfId="1" applyBorder="1" applyAlignment="1">
      <alignment horizontal="center" vertical="center"/>
    </xf>
    <xf numFmtId="9" fontId="14" fillId="12" borderId="4" xfId="1" applyNumberFormat="1" applyFont="1" applyFill="1" applyBorder="1" applyAlignment="1">
      <alignment horizontal="center" vertical="center"/>
    </xf>
    <xf numFmtId="0" fontId="14" fillId="12" borderId="4" xfId="1" applyFont="1" applyFill="1" applyBorder="1" applyAlignment="1">
      <alignment horizontal="center" vertical="center"/>
    </xf>
    <xf numFmtId="0" fontId="13" fillId="12" borderId="4" xfId="1" applyFont="1" applyFill="1" applyBorder="1" applyAlignment="1">
      <alignment wrapText="1"/>
    </xf>
    <xf numFmtId="9" fontId="1" fillId="0" borderId="4" xfId="1" applyNumberFormat="1" applyBorder="1" applyAlignment="1">
      <alignment horizontal="center" vertical="center"/>
    </xf>
    <xf numFmtId="0" fontId="12" fillId="13" borderId="4" xfId="1" applyFont="1" applyFill="1" applyBorder="1"/>
    <xf numFmtId="0" fontId="12" fillId="13" borderId="4" xfId="1" applyFont="1" applyFill="1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1" fillId="0" borderId="4" xfId="1" applyFill="1" applyBorder="1" applyAlignment="1">
      <alignment horizontal="center" vertical="center"/>
    </xf>
    <xf numFmtId="0" fontId="1" fillId="0" borderId="4" xfId="1" applyFill="1" applyBorder="1" applyAlignment="1"/>
    <xf numFmtId="0" fontId="1" fillId="0" borderId="0" xfId="1" applyFill="1"/>
    <xf numFmtId="164" fontId="1" fillId="0" borderId="4" xfId="1" applyNumberFormat="1" applyFill="1" applyBorder="1" applyAlignment="1">
      <alignment horizontal="center"/>
    </xf>
    <xf numFmtId="0" fontId="11" fillId="0" borderId="4" xfId="1" applyFont="1" applyFill="1" applyBorder="1" applyAlignment="1"/>
    <xf numFmtId="0" fontId="1" fillId="0" borderId="5" xfId="1" applyFill="1" applyBorder="1" applyAlignment="1">
      <alignment horizontal="center"/>
    </xf>
    <xf numFmtId="164" fontId="1" fillId="0" borderId="5" xfId="1" applyNumberFormat="1" applyFill="1" applyBorder="1" applyAlignment="1">
      <alignment horizont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/>
    <xf numFmtId="164" fontId="1" fillId="0" borderId="5" xfId="1" applyNumberFormat="1" applyFill="1" applyBorder="1" applyAlignment="1">
      <alignment horizontal="center" vertical="center"/>
    </xf>
    <xf numFmtId="0" fontId="1" fillId="0" borderId="4" xfId="1" applyFill="1" applyBorder="1" applyAlignment="1">
      <alignment wrapText="1"/>
    </xf>
    <xf numFmtId="0" fontId="1" fillId="14" borderId="4" xfId="1" applyFill="1" applyBorder="1" applyAlignment="1">
      <alignment horizontal="center"/>
    </xf>
    <xf numFmtId="164" fontId="1" fillId="14" borderId="4" xfId="1" applyNumberFormat="1" applyFill="1" applyBorder="1" applyAlignment="1">
      <alignment horizontal="center"/>
    </xf>
    <xf numFmtId="0" fontId="1" fillId="14" borderId="4" xfId="1" applyFill="1" applyBorder="1" applyAlignment="1"/>
    <xf numFmtId="0" fontId="1" fillId="14" borderId="4" xfId="1" applyFill="1" applyBorder="1"/>
    <xf numFmtId="0" fontId="1" fillId="14" borderId="5" xfId="1" applyFill="1" applyBorder="1" applyAlignment="1">
      <alignment horizontal="center"/>
    </xf>
    <xf numFmtId="164" fontId="1" fillId="14" borderId="5" xfId="1" applyNumberFormat="1" applyFill="1" applyBorder="1" applyAlignment="1">
      <alignment horizontal="center"/>
    </xf>
    <xf numFmtId="0" fontId="1" fillId="14" borderId="5" xfId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3" fillId="10" borderId="4" xfId="1" applyFont="1" applyFill="1" applyBorder="1" applyAlignment="1">
      <alignment horizontal="center" vertical="center" wrapText="1"/>
    </xf>
    <xf numFmtId="0" fontId="13" fillId="11" borderId="4" xfId="1" applyFont="1" applyFill="1" applyBorder="1" applyAlignment="1">
      <alignment horizontal="center" vertical="center"/>
    </xf>
    <xf numFmtId="0" fontId="13" fillId="12" borderId="4" xfId="1" applyFont="1" applyFill="1" applyBorder="1" applyAlignment="1">
      <alignment horizontal="center" vertical="center"/>
    </xf>
    <xf numFmtId="0" fontId="13" fillId="9" borderId="4" xfId="1" applyFont="1" applyFill="1" applyBorder="1" applyAlignment="1">
      <alignment horizontal="center" vertical="center" wrapText="1"/>
    </xf>
    <xf numFmtId="0" fontId="13" fillId="9" borderId="4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/>
    </xf>
    <xf numFmtId="0" fontId="1" fillId="14" borderId="4" xfId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CFAE1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4E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4"/>
  <sheetViews>
    <sheetView workbookViewId="0">
      <selection activeCell="G5" sqref="G5"/>
    </sheetView>
  </sheetViews>
  <sheetFormatPr baseColWidth="10" defaultRowHeight="14.4" x14ac:dyDescent="0.3"/>
  <cols>
    <col min="1" max="1" width="11.5546875" style="19"/>
    <col min="2" max="2" width="38" style="19" bestFit="1" customWidth="1"/>
    <col min="3" max="3" width="17.44140625" style="19" bestFit="1" customWidth="1"/>
    <col min="4" max="16384" width="11.5546875" style="19"/>
  </cols>
  <sheetData>
    <row r="3" spans="2:7" ht="14.4" customHeight="1" x14ac:dyDescent="0.3">
      <c r="B3" s="51" t="s">
        <v>1</v>
      </c>
      <c r="C3" s="52" t="s">
        <v>2</v>
      </c>
      <c r="D3" s="48" t="s">
        <v>25</v>
      </c>
      <c r="E3" s="49" t="s">
        <v>26</v>
      </c>
      <c r="F3" s="48" t="s">
        <v>27</v>
      </c>
      <c r="G3" s="49" t="s">
        <v>26</v>
      </c>
    </row>
    <row r="4" spans="2:7" x14ac:dyDescent="0.3">
      <c r="B4" s="51"/>
      <c r="C4" s="52"/>
      <c r="D4" s="48"/>
      <c r="E4" s="49"/>
      <c r="F4" s="48"/>
      <c r="G4" s="49"/>
    </row>
    <row r="5" spans="2:7" x14ac:dyDescent="0.3">
      <c r="B5" s="50" t="s">
        <v>11</v>
      </c>
      <c r="C5" s="20" t="s">
        <v>12</v>
      </c>
      <c r="D5" s="21">
        <v>7</v>
      </c>
      <c r="E5" s="22">
        <v>0.05</v>
      </c>
      <c r="F5" s="23">
        <v>2</v>
      </c>
      <c r="G5" s="22">
        <v>0.05</v>
      </c>
    </row>
    <row r="6" spans="2:7" x14ac:dyDescent="0.3">
      <c r="B6" s="50"/>
      <c r="C6" s="24" t="s">
        <v>13</v>
      </c>
      <c r="D6" s="21">
        <v>1</v>
      </c>
      <c r="E6" s="22">
        <v>0.03</v>
      </c>
      <c r="F6" s="23">
        <v>0</v>
      </c>
      <c r="G6" s="22">
        <v>0.05</v>
      </c>
    </row>
    <row r="7" spans="2:7" x14ac:dyDescent="0.3">
      <c r="B7" s="50"/>
      <c r="C7" s="20" t="s">
        <v>14</v>
      </c>
      <c r="D7" s="21">
        <v>2</v>
      </c>
      <c r="E7" s="22">
        <v>0.03</v>
      </c>
      <c r="F7" s="23">
        <v>0</v>
      </c>
      <c r="G7" s="22">
        <v>0.05</v>
      </c>
    </row>
    <row r="8" spans="2:7" x14ac:dyDescent="0.3">
      <c r="B8" s="50"/>
      <c r="C8" s="20" t="s">
        <v>15</v>
      </c>
      <c r="D8" s="21">
        <v>1</v>
      </c>
      <c r="E8" s="22">
        <v>0.05</v>
      </c>
      <c r="F8" s="23">
        <v>0</v>
      </c>
      <c r="G8" s="22">
        <v>0.05</v>
      </c>
    </row>
    <row r="9" spans="2:7" x14ac:dyDescent="0.3">
      <c r="B9" s="50"/>
      <c r="C9" s="20" t="s">
        <v>16</v>
      </c>
      <c r="D9" s="21">
        <v>2</v>
      </c>
      <c r="E9" s="22">
        <v>0.05</v>
      </c>
      <c r="F9" s="23">
        <v>2</v>
      </c>
      <c r="G9" s="22">
        <v>0.05</v>
      </c>
    </row>
    <row r="10" spans="2:7" x14ac:dyDescent="0.3">
      <c r="B10" s="50"/>
      <c r="C10" s="20" t="s">
        <v>17</v>
      </c>
      <c r="D10" s="21">
        <v>14</v>
      </c>
      <c r="E10" s="22">
        <v>0.05</v>
      </c>
      <c r="F10" s="23">
        <v>3</v>
      </c>
      <c r="G10" s="22">
        <v>0.05</v>
      </c>
    </row>
    <row r="11" spans="2:7" x14ac:dyDescent="0.3">
      <c r="B11" s="50"/>
      <c r="C11" s="20" t="s">
        <v>18</v>
      </c>
      <c r="D11" s="21">
        <v>6</v>
      </c>
      <c r="E11" s="22">
        <v>0.05</v>
      </c>
      <c r="F11" s="23">
        <v>1</v>
      </c>
      <c r="G11" s="22">
        <v>0.05</v>
      </c>
    </row>
    <row r="12" spans="2:7" x14ac:dyDescent="0.3">
      <c r="B12" s="50"/>
      <c r="C12" s="20" t="s">
        <v>19</v>
      </c>
      <c r="D12" s="21">
        <v>1</v>
      </c>
      <c r="E12" s="22">
        <v>0.03</v>
      </c>
      <c r="F12" s="23">
        <v>0</v>
      </c>
      <c r="G12" s="22">
        <v>0.05</v>
      </c>
    </row>
    <row r="13" spans="2:7" x14ac:dyDescent="0.3">
      <c r="B13" s="50"/>
      <c r="C13" s="20" t="s">
        <v>20</v>
      </c>
      <c r="D13" s="21">
        <v>0</v>
      </c>
      <c r="E13" s="25">
        <v>0</v>
      </c>
      <c r="F13" s="23">
        <v>2</v>
      </c>
      <c r="G13" s="22">
        <v>0.05</v>
      </c>
    </row>
    <row r="14" spans="2:7" x14ac:dyDescent="0.3">
      <c r="B14" s="50"/>
      <c r="C14" s="20" t="s">
        <v>21</v>
      </c>
      <c r="D14" s="21">
        <v>0</v>
      </c>
      <c r="E14" s="25">
        <v>0</v>
      </c>
      <c r="F14" s="23">
        <v>0</v>
      </c>
      <c r="G14" s="22">
        <v>0.03</v>
      </c>
    </row>
  </sheetData>
  <mergeCells count="7">
    <mergeCell ref="F3:F4"/>
    <mergeCell ref="G3:G4"/>
    <mergeCell ref="B5:B1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5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13" sqref="M13"/>
    </sheetView>
  </sheetViews>
  <sheetFormatPr baseColWidth="10" defaultColWidth="8.6640625" defaultRowHeight="14.4" x14ac:dyDescent="0.3"/>
  <cols>
    <col min="1" max="1" width="30" customWidth="1"/>
    <col min="2" max="2" width="18" customWidth="1"/>
    <col min="3" max="18" width="14" customWidth="1"/>
  </cols>
  <sheetData>
    <row r="1" spans="1:18" s="53" customFormat="1" ht="17.399999999999999" x14ac:dyDescent="0.3">
      <c r="A1" s="53" t="s">
        <v>0</v>
      </c>
    </row>
    <row r="2" spans="1:18" x14ac:dyDescent="0.3">
      <c r="A2" s="1"/>
    </row>
    <row r="4" spans="1:18" ht="15" customHeight="1" x14ac:dyDescent="0.3">
      <c r="A4" s="56" t="s">
        <v>1</v>
      </c>
      <c r="B4" s="56" t="s">
        <v>2</v>
      </c>
      <c r="C4" s="54" t="s">
        <v>3</v>
      </c>
      <c r="D4" s="54"/>
      <c r="E4" s="54"/>
      <c r="F4" s="54"/>
      <c r="G4" s="54" t="s">
        <v>4</v>
      </c>
      <c r="H4" s="54"/>
      <c r="I4" s="54"/>
      <c r="J4" s="54"/>
      <c r="K4" s="54" t="s">
        <v>5</v>
      </c>
      <c r="L4" s="54"/>
      <c r="M4" s="54"/>
      <c r="N4" s="54"/>
      <c r="O4" s="54" t="s">
        <v>6</v>
      </c>
      <c r="P4" s="54"/>
      <c r="Q4" s="54"/>
      <c r="R4" s="54"/>
    </row>
    <row r="5" spans="1:18" ht="26.4" x14ac:dyDescent="0.3">
      <c r="A5" s="56"/>
      <c r="B5" s="56"/>
      <c r="C5" s="2" t="s">
        <v>7</v>
      </c>
      <c r="D5" s="17" t="s">
        <v>22</v>
      </c>
      <c r="E5" s="18" t="s">
        <v>23</v>
      </c>
      <c r="F5" s="2" t="s">
        <v>10</v>
      </c>
      <c r="G5" s="2" t="s">
        <v>7</v>
      </c>
      <c r="H5" s="17" t="s">
        <v>22</v>
      </c>
      <c r="I5" s="18" t="s">
        <v>24</v>
      </c>
      <c r="J5" s="2" t="s">
        <v>10</v>
      </c>
      <c r="K5" s="2" t="s">
        <v>7</v>
      </c>
      <c r="L5" s="3" t="s">
        <v>8</v>
      </c>
      <c r="M5" s="4" t="s">
        <v>9</v>
      </c>
      <c r="N5" s="2" t="s">
        <v>10</v>
      </c>
      <c r="O5" s="2" t="s">
        <v>7</v>
      </c>
      <c r="P5" s="3" t="s">
        <v>8</v>
      </c>
      <c r="Q5" s="4" t="s">
        <v>9</v>
      </c>
      <c r="R5" s="2" t="s">
        <v>10</v>
      </c>
    </row>
    <row r="6" spans="1:18" ht="15" customHeight="1" x14ac:dyDescent="0.3">
      <c r="A6" s="55" t="s">
        <v>11</v>
      </c>
      <c r="B6" s="5" t="s">
        <v>12</v>
      </c>
      <c r="C6" s="6">
        <v>7</v>
      </c>
      <c r="D6" s="7">
        <v>0.35</v>
      </c>
      <c r="E6" s="16">
        <v>0.1</v>
      </c>
      <c r="F6" s="14">
        <f>E6-D6</f>
        <v>-0.24999999999999997</v>
      </c>
      <c r="G6" s="6">
        <v>2</v>
      </c>
      <c r="H6" s="7">
        <f>G6*5%</f>
        <v>0.1</v>
      </c>
      <c r="I6" s="8"/>
      <c r="J6" s="9">
        <f>I6-H6</f>
        <v>-0.1</v>
      </c>
      <c r="K6" s="10">
        <v>0</v>
      </c>
      <c r="L6" s="11"/>
      <c r="M6" s="12"/>
      <c r="N6" s="9">
        <f t="shared" ref="N6:N15" si="0">M6-L6</f>
        <v>0</v>
      </c>
      <c r="O6" s="10"/>
      <c r="P6" s="11"/>
      <c r="Q6" s="12"/>
      <c r="R6" s="9">
        <f t="shared" ref="R6:R15" si="1">Q6-P6</f>
        <v>0</v>
      </c>
    </row>
    <row r="7" spans="1:18" x14ac:dyDescent="0.3">
      <c r="A7" s="55"/>
      <c r="B7" s="5" t="s">
        <v>13</v>
      </c>
      <c r="C7" s="6">
        <v>1</v>
      </c>
      <c r="D7" s="7">
        <v>0.03</v>
      </c>
      <c r="E7" s="12">
        <v>0</v>
      </c>
      <c r="F7" s="9">
        <f t="shared" ref="F7:F15" si="2">E7-D7</f>
        <v>-0.03</v>
      </c>
      <c r="G7" s="6">
        <v>0</v>
      </c>
      <c r="H7" s="7">
        <v>0.03</v>
      </c>
      <c r="I7" s="12"/>
      <c r="J7" s="9">
        <f t="shared" ref="J7:J15" si="3">I7-H7</f>
        <v>-0.03</v>
      </c>
      <c r="K7" s="10">
        <v>0</v>
      </c>
      <c r="L7" s="11"/>
      <c r="M7" s="12"/>
      <c r="N7" s="9">
        <f t="shared" si="0"/>
        <v>0</v>
      </c>
      <c r="O7" s="10"/>
      <c r="P7" s="11"/>
      <c r="Q7" s="12"/>
      <c r="R7" s="9">
        <f t="shared" si="1"/>
        <v>0</v>
      </c>
    </row>
    <row r="8" spans="1:18" x14ac:dyDescent="0.3">
      <c r="A8" s="55"/>
      <c r="B8" s="5" t="s">
        <v>14</v>
      </c>
      <c r="C8" s="6">
        <v>2</v>
      </c>
      <c r="D8" s="7">
        <f>C8*3%</f>
        <v>0.06</v>
      </c>
      <c r="E8" s="12">
        <v>0</v>
      </c>
      <c r="F8" s="9">
        <f t="shared" si="2"/>
        <v>-0.06</v>
      </c>
      <c r="G8" s="6">
        <v>0</v>
      </c>
      <c r="H8" s="7">
        <f>D8</f>
        <v>0.06</v>
      </c>
      <c r="I8" s="12"/>
      <c r="J8" s="9">
        <f t="shared" si="3"/>
        <v>-0.06</v>
      </c>
      <c r="K8" s="10">
        <v>0</v>
      </c>
      <c r="L8" s="11"/>
      <c r="M8" s="12"/>
      <c r="N8" s="9">
        <f t="shared" si="0"/>
        <v>0</v>
      </c>
      <c r="O8" s="10"/>
      <c r="P8" s="11"/>
      <c r="Q8" s="12"/>
      <c r="R8" s="9">
        <f t="shared" si="1"/>
        <v>0</v>
      </c>
    </row>
    <row r="9" spans="1:18" x14ac:dyDescent="0.3">
      <c r="A9" s="55"/>
      <c r="B9" s="5" t="s">
        <v>15</v>
      </c>
      <c r="C9" s="6">
        <v>0</v>
      </c>
      <c r="D9" s="7">
        <v>0</v>
      </c>
      <c r="E9" s="12">
        <v>0</v>
      </c>
      <c r="F9" s="9">
        <f t="shared" si="2"/>
        <v>0</v>
      </c>
      <c r="G9" s="6">
        <v>0</v>
      </c>
      <c r="H9" s="7">
        <v>0.05</v>
      </c>
      <c r="I9" s="12"/>
      <c r="J9" s="9">
        <f t="shared" si="3"/>
        <v>-0.05</v>
      </c>
      <c r="K9" s="10">
        <v>2</v>
      </c>
      <c r="L9" s="11"/>
      <c r="M9" s="12"/>
      <c r="N9" s="9">
        <f t="shared" si="0"/>
        <v>0</v>
      </c>
      <c r="O9" s="10"/>
      <c r="P9" s="11"/>
      <c r="Q9" s="12"/>
      <c r="R9" s="9">
        <f t="shared" si="1"/>
        <v>0</v>
      </c>
    </row>
    <row r="10" spans="1:18" x14ac:dyDescent="0.3">
      <c r="A10" s="55"/>
      <c r="B10" s="5" t="s">
        <v>16</v>
      </c>
      <c r="C10" s="6">
        <v>2</v>
      </c>
      <c r="D10" s="7">
        <f>C10*5%</f>
        <v>0.1</v>
      </c>
      <c r="E10" s="15">
        <v>0.1</v>
      </c>
      <c r="F10" s="13">
        <f t="shared" si="2"/>
        <v>0</v>
      </c>
      <c r="G10" s="6">
        <v>2</v>
      </c>
      <c r="H10" s="7">
        <f>G10*5%</f>
        <v>0.1</v>
      </c>
      <c r="I10" s="12"/>
      <c r="J10" s="9">
        <f t="shared" si="3"/>
        <v>-0.1</v>
      </c>
      <c r="K10" s="10">
        <v>0</v>
      </c>
      <c r="L10" s="11"/>
      <c r="M10" s="12"/>
      <c r="N10" s="9">
        <f t="shared" si="0"/>
        <v>0</v>
      </c>
      <c r="O10" s="10"/>
      <c r="P10" s="11"/>
      <c r="Q10" s="12"/>
      <c r="R10" s="9">
        <f t="shared" si="1"/>
        <v>0</v>
      </c>
    </row>
    <row r="11" spans="1:18" x14ac:dyDescent="0.3">
      <c r="A11" s="55"/>
      <c r="B11" s="5" t="s">
        <v>17</v>
      </c>
      <c r="C11" s="6">
        <v>14</v>
      </c>
      <c r="D11" s="7">
        <f>C11*5%</f>
        <v>0.70000000000000007</v>
      </c>
      <c r="E11" s="12">
        <f>3*10%</f>
        <v>0.30000000000000004</v>
      </c>
      <c r="F11" s="9">
        <f t="shared" si="2"/>
        <v>-0.4</v>
      </c>
      <c r="G11" s="6">
        <v>3</v>
      </c>
      <c r="H11" s="7">
        <f>G11*5%</f>
        <v>0.15000000000000002</v>
      </c>
      <c r="I11" s="12">
        <v>0.05</v>
      </c>
      <c r="J11" s="9">
        <f>I11-H11</f>
        <v>-0.10000000000000002</v>
      </c>
      <c r="K11" s="10">
        <v>2</v>
      </c>
      <c r="L11" s="11"/>
      <c r="M11" s="12"/>
      <c r="N11" s="9">
        <f t="shared" si="0"/>
        <v>0</v>
      </c>
      <c r="O11" s="10"/>
      <c r="P11" s="11"/>
      <c r="Q11" s="12"/>
      <c r="R11" s="9">
        <f t="shared" si="1"/>
        <v>0</v>
      </c>
    </row>
    <row r="12" spans="1:18" x14ac:dyDescent="0.3">
      <c r="A12" s="55"/>
      <c r="B12" s="5" t="s">
        <v>18</v>
      </c>
      <c r="C12" s="6">
        <v>15</v>
      </c>
      <c r="D12" s="7">
        <f>C12*5%</f>
        <v>0.75</v>
      </c>
      <c r="E12" s="12">
        <v>0.1</v>
      </c>
      <c r="F12" s="9">
        <f t="shared" si="2"/>
        <v>-0.65</v>
      </c>
      <c r="G12" s="6">
        <v>1</v>
      </c>
      <c r="H12" s="7">
        <v>0.05</v>
      </c>
      <c r="I12" s="12"/>
      <c r="J12" s="9">
        <f t="shared" si="3"/>
        <v>-0.05</v>
      </c>
      <c r="K12" s="10">
        <v>3</v>
      </c>
      <c r="L12" s="11"/>
      <c r="M12" s="12">
        <v>0.1</v>
      </c>
      <c r="N12" s="9">
        <f t="shared" si="0"/>
        <v>0.1</v>
      </c>
      <c r="O12" s="10"/>
      <c r="P12" s="11"/>
      <c r="Q12" s="12"/>
      <c r="R12" s="9">
        <f t="shared" si="1"/>
        <v>0</v>
      </c>
    </row>
    <row r="13" spans="1:18" x14ac:dyDescent="0.3">
      <c r="A13" s="55"/>
      <c r="B13" s="5" t="s">
        <v>19</v>
      </c>
      <c r="C13" s="6">
        <v>1</v>
      </c>
      <c r="D13" s="7">
        <v>0.03</v>
      </c>
      <c r="E13" s="12">
        <v>0</v>
      </c>
      <c r="F13" s="9">
        <f t="shared" si="2"/>
        <v>-0.03</v>
      </c>
      <c r="G13" s="6">
        <v>0</v>
      </c>
      <c r="H13" s="7">
        <f>D13</f>
        <v>0.03</v>
      </c>
      <c r="I13" s="12"/>
      <c r="J13" s="9">
        <f t="shared" si="3"/>
        <v>-0.03</v>
      </c>
      <c r="K13" s="10">
        <v>0</v>
      </c>
      <c r="L13" s="11"/>
      <c r="M13" s="12"/>
      <c r="N13" s="9">
        <f t="shared" si="0"/>
        <v>0</v>
      </c>
      <c r="O13" s="10"/>
      <c r="P13" s="11"/>
      <c r="Q13" s="12"/>
      <c r="R13" s="9">
        <f t="shared" si="1"/>
        <v>0</v>
      </c>
    </row>
    <row r="14" spans="1:18" x14ac:dyDescent="0.3">
      <c r="A14" s="55"/>
      <c r="B14" s="5" t="s">
        <v>20</v>
      </c>
      <c r="C14" s="6">
        <v>0</v>
      </c>
      <c r="D14" s="7">
        <v>0</v>
      </c>
      <c r="E14" s="12">
        <v>0</v>
      </c>
      <c r="F14" s="9">
        <f t="shared" si="2"/>
        <v>0</v>
      </c>
      <c r="G14" s="6">
        <v>2</v>
      </c>
      <c r="H14" s="7">
        <f>G14*5%</f>
        <v>0.1</v>
      </c>
      <c r="I14" s="12"/>
      <c r="J14" s="9">
        <f t="shared" si="3"/>
        <v>-0.1</v>
      </c>
      <c r="K14" s="10">
        <v>0</v>
      </c>
      <c r="L14" s="11"/>
      <c r="M14" s="12"/>
      <c r="N14" s="9">
        <f t="shared" si="0"/>
        <v>0</v>
      </c>
      <c r="O14" s="10"/>
      <c r="P14" s="11"/>
      <c r="Q14" s="12"/>
      <c r="R14" s="9">
        <f t="shared" si="1"/>
        <v>0</v>
      </c>
    </row>
    <row r="15" spans="1:18" x14ac:dyDescent="0.3">
      <c r="A15" s="55"/>
      <c r="B15" s="5" t="s">
        <v>21</v>
      </c>
      <c r="C15" s="6">
        <v>0</v>
      </c>
      <c r="D15" s="7">
        <v>0</v>
      </c>
      <c r="E15" s="12">
        <v>0</v>
      </c>
      <c r="F15" s="9">
        <f t="shared" si="2"/>
        <v>0</v>
      </c>
      <c r="G15" s="6">
        <v>0</v>
      </c>
      <c r="H15" s="7">
        <v>0</v>
      </c>
      <c r="I15" s="12"/>
      <c r="J15" s="9">
        <f t="shared" si="3"/>
        <v>0</v>
      </c>
      <c r="K15" s="10">
        <v>0</v>
      </c>
      <c r="L15" s="11"/>
      <c r="M15" s="12"/>
      <c r="N15" s="9">
        <f t="shared" si="0"/>
        <v>0</v>
      </c>
      <c r="O15" s="10"/>
      <c r="P15" s="11"/>
      <c r="Q15" s="12"/>
      <c r="R15" s="9">
        <f t="shared" si="1"/>
        <v>0</v>
      </c>
    </row>
  </sheetData>
  <mergeCells count="8">
    <mergeCell ref="A1:XFD1"/>
    <mergeCell ref="O4:R4"/>
    <mergeCell ref="A6:A15"/>
    <mergeCell ref="A4:A5"/>
    <mergeCell ref="B4:B5"/>
    <mergeCell ref="C4:F4"/>
    <mergeCell ref="G4:J4"/>
    <mergeCell ref="K4:N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80" zoomScaleNormal="80" workbookViewId="0">
      <selection activeCell="F2" sqref="F2"/>
    </sheetView>
  </sheetViews>
  <sheetFormatPr baseColWidth="10" defaultRowHeight="14.4" x14ac:dyDescent="0.3"/>
  <cols>
    <col min="1" max="1" width="14.21875" style="19" bestFit="1" customWidth="1"/>
    <col min="2" max="2" width="12.77734375" style="47" customWidth="1"/>
    <col min="3" max="4" width="11.5546875" style="19"/>
    <col min="5" max="5" width="35.5546875" style="47" customWidth="1"/>
    <col min="6" max="6" width="133.21875" style="19" bestFit="1" customWidth="1"/>
    <col min="7" max="16384" width="11.5546875" style="19"/>
  </cols>
  <sheetData>
    <row r="1" spans="1:7" x14ac:dyDescent="0.3">
      <c r="A1" s="26" t="s">
        <v>1</v>
      </c>
      <c r="B1" s="27" t="s">
        <v>2</v>
      </c>
      <c r="C1" s="26" t="s">
        <v>28</v>
      </c>
      <c r="D1" s="26" t="s">
        <v>29</v>
      </c>
      <c r="E1" s="27" t="s">
        <v>30</v>
      </c>
      <c r="F1" s="26" t="s">
        <v>31</v>
      </c>
    </row>
    <row r="2" spans="1:7" x14ac:dyDescent="0.3">
      <c r="A2" s="57" t="s">
        <v>32</v>
      </c>
      <c r="B2" s="28" t="s">
        <v>18</v>
      </c>
      <c r="C2" s="29" t="s">
        <v>33</v>
      </c>
      <c r="D2" s="29" t="s">
        <v>34</v>
      </c>
      <c r="E2" s="29" t="s">
        <v>35</v>
      </c>
      <c r="F2" s="30" t="s">
        <v>36</v>
      </c>
      <c r="G2" s="31"/>
    </row>
    <row r="3" spans="1:7" x14ac:dyDescent="0.3">
      <c r="A3" s="57"/>
      <c r="B3" s="28" t="s">
        <v>18</v>
      </c>
      <c r="C3" s="29" t="s">
        <v>37</v>
      </c>
      <c r="D3" s="29" t="s">
        <v>38</v>
      </c>
      <c r="E3" s="29" t="s">
        <v>39</v>
      </c>
      <c r="F3" s="30" t="s">
        <v>40</v>
      </c>
      <c r="G3" s="31"/>
    </row>
    <row r="4" spans="1:7" x14ac:dyDescent="0.3">
      <c r="A4" s="57"/>
      <c r="B4" s="28" t="s">
        <v>18</v>
      </c>
      <c r="C4" s="29" t="s">
        <v>41</v>
      </c>
      <c r="D4" s="29" t="s">
        <v>38</v>
      </c>
      <c r="E4" s="29" t="s">
        <v>39</v>
      </c>
      <c r="F4" s="30" t="s">
        <v>40</v>
      </c>
      <c r="G4" s="31"/>
    </row>
    <row r="5" spans="1:7" x14ac:dyDescent="0.3">
      <c r="A5" s="57"/>
      <c r="B5" s="28" t="s">
        <v>18</v>
      </c>
      <c r="C5" s="32" t="s">
        <v>42</v>
      </c>
      <c r="D5" s="29" t="s">
        <v>38</v>
      </c>
      <c r="E5" s="29" t="s">
        <v>39</v>
      </c>
      <c r="F5" s="30" t="s">
        <v>40</v>
      </c>
      <c r="G5" s="31"/>
    </row>
    <row r="6" spans="1:7" x14ac:dyDescent="0.3">
      <c r="A6" s="57"/>
      <c r="B6" s="28" t="s">
        <v>18</v>
      </c>
      <c r="C6" s="32" t="s">
        <v>43</v>
      </c>
      <c r="D6" s="29" t="s">
        <v>38</v>
      </c>
      <c r="E6" s="29" t="s">
        <v>39</v>
      </c>
      <c r="F6" s="33" t="s">
        <v>44</v>
      </c>
      <c r="G6" s="31"/>
    </row>
    <row r="7" spans="1:7" x14ac:dyDescent="0.3">
      <c r="A7" s="57"/>
      <c r="B7" s="28" t="s">
        <v>18</v>
      </c>
      <c r="C7" s="32" t="s">
        <v>45</v>
      </c>
      <c r="D7" s="29" t="s">
        <v>38</v>
      </c>
      <c r="E7" s="29" t="s">
        <v>46</v>
      </c>
      <c r="F7" s="30" t="s">
        <v>40</v>
      </c>
      <c r="G7" s="31"/>
    </row>
    <row r="8" spans="1:7" x14ac:dyDescent="0.3">
      <c r="A8" s="57"/>
      <c r="B8" s="28" t="s">
        <v>18</v>
      </c>
      <c r="C8" s="32" t="s">
        <v>47</v>
      </c>
      <c r="D8" s="29" t="s">
        <v>47</v>
      </c>
      <c r="E8" s="29" t="s">
        <v>48</v>
      </c>
      <c r="F8" s="30" t="s">
        <v>49</v>
      </c>
      <c r="G8" s="31"/>
    </row>
    <row r="9" spans="1:7" x14ac:dyDescent="0.3">
      <c r="A9" s="57"/>
      <c r="B9" s="34" t="s">
        <v>18</v>
      </c>
      <c r="C9" s="35" t="s">
        <v>47</v>
      </c>
      <c r="D9" s="36" t="s">
        <v>47</v>
      </c>
      <c r="E9" s="36" t="s">
        <v>50</v>
      </c>
      <c r="F9" s="30" t="s">
        <v>51</v>
      </c>
      <c r="G9" s="31"/>
    </row>
    <row r="10" spans="1:7" x14ac:dyDescent="0.3">
      <c r="A10" s="57"/>
      <c r="B10" s="34" t="s">
        <v>18</v>
      </c>
      <c r="C10" s="35" t="s">
        <v>47</v>
      </c>
      <c r="D10" s="36" t="s">
        <v>47</v>
      </c>
      <c r="E10" s="36" t="s">
        <v>52</v>
      </c>
      <c r="F10" s="30" t="s">
        <v>53</v>
      </c>
      <c r="G10" s="31"/>
    </row>
    <row r="11" spans="1:7" x14ac:dyDescent="0.3">
      <c r="A11" s="57"/>
      <c r="B11" s="34" t="s">
        <v>54</v>
      </c>
      <c r="C11" s="35" t="s">
        <v>47</v>
      </c>
      <c r="D11" s="36" t="s">
        <v>47</v>
      </c>
      <c r="E11" s="36" t="s">
        <v>50</v>
      </c>
      <c r="F11" s="37" t="s">
        <v>55</v>
      </c>
      <c r="G11" s="31"/>
    </row>
    <row r="12" spans="1:7" x14ac:dyDescent="0.3">
      <c r="A12" s="57"/>
      <c r="B12" s="34" t="s">
        <v>54</v>
      </c>
      <c r="C12" s="35" t="s">
        <v>56</v>
      </c>
      <c r="D12" s="36" t="s">
        <v>38</v>
      </c>
      <c r="E12" s="36" t="s">
        <v>57</v>
      </c>
      <c r="F12" s="30" t="s">
        <v>58</v>
      </c>
      <c r="G12" s="31"/>
    </row>
    <row r="13" spans="1:7" x14ac:dyDescent="0.3">
      <c r="A13" s="57"/>
      <c r="B13" s="34" t="s">
        <v>54</v>
      </c>
      <c r="C13" s="35" t="s">
        <v>47</v>
      </c>
      <c r="D13" s="36" t="s">
        <v>47</v>
      </c>
      <c r="E13" s="36" t="s">
        <v>52</v>
      </c>
      <c r="F13" s="30" t="s">
        <v>59</v>
      </c>
      <c r="G13" s="31"/>
    </row>
    <row r="14" spans="1:7" ht="57.6" x14ac:dyDescent="0.3">
      <c r="A14" s="57"/>
      <c r="B14" s="36" t="s">
        <v>54</v>
      </c>
      <c r="C14" s="38" t="s">
        <v>47</v>
      </c>
      <c r="D14" s="36" t="s">
        <v>47</v>
      </c>
      <c r="E14" s="36" t="s">
        <v>60</v>
      </c>
      <c r="F14" s="39" t="s">
        <v>61</v>
      </c>
      <c r="G14" s="31"/>
    </row>
    <row r="15" spans="1:7" x14ac:dyDescent="0.3">
      <c r="A15" s="57"/>
      <c r="B15" s="28" t="s">
        <v>62</v>
      </c>
      <c r="C15" s="35" t="s">
        <v>47</v>
      </c>
      <c r="D15" s="36" t="s">
        <v>47</v>
      </c>
      <c r="E15" s="36" t="s">
        <v>63</v>
      </c>
      <c r="F15" s="30" t="s">
        <v>64</v>
      </c>
      <c r="G15" s="31"/>
    </row>
    <row r="16" spans="1:7" ht="43.2" x14ac:dyDescent="0.3">
      <c r="A16" s="57"/>
      <c r="B16" s="28" t="s">
        <v>62</v>
      </c>
      <c r="C16" s="32" t="s">
        <v>65</v>
      </c>
      <c r="D16" s="28" t="s">
        <v>38</v>
      </c>
      <c r="E16" s="29" t="s">
        <v>66</v>
      </c>
      <c r="F16" s="39" t="s">
        <v>67</v>
      </c>
      <c r="G16" s="31"/>
    </row>
    <row r="17" spans="1:7" ht="57.6" x14ac:dyDescent="0.3">
      <c r="A17" s="57"/>
      <c r="B17" s="29" t="s">
        <v>62</v>
      </c>
      <c r="C17" s="38" t="s">
        <v>47</v>
      </c>
      <c r="D17" s="36" t="s">
        <v>47</v>
      </c>
      <c r="E17" s="36" t="s">
        <v>60</v>
      </c>
      <c r="F17" s="39" t="s">
        <v>68</v>
      </c>
      <c r="G17" s="31"/>
    </row>
    <row r="18" spans="1:7" x14ac:dyDescent="0.3">
      <c r="A18" s="57"/>
      <c r="B18" s="29" t="s">
        <v>62</v>
      </c>
      <c r="C18" s="38" t="s">
        <v>47</v>
      </c>
      <c r="D18" s="36" t="s">
        <v>47</v>
      </c>
      <c r="E18" s="36" t="s">
        <v>60</v>
      </c>
      <c r="F18" s="39" t="s">
        <v>69</v>
      </c>
      <c r="G18" s="31"/>
    </row>
    <row r="19" spans="1:7" x14ac:dyDescent="0.3">
      <c r="A19" s="58" t="s">
        <v>70</v>
      </c>
      <c r="B19" s="40" t="s">
        <v>71</v>
      </c>
      <c r="C19" s="41" t="s">
        <v>72</v>
      </c>
      <c r="D19" s="40" t="s">
        <v>38</v>
      </c>
      <c r="E19" s="40" t="s">
        <v>35</v>
      </c>
      <c r="F19" s="42" t="s">
        <v>73</v>
      </c>
    </row>
    <row r="20" spans="1:7" x14ac:dyDescent="0.3">
      <c r="A20" s="58"/>
      <c r="B20" s="40" t="s">
        <v>71</v>
      </c>
      <c r="C20" s="40" t="s">
        <v>74</v>
      </c>
      <c r="D20" s="40" t="s">
        <v>75</v>
      </c>
      <c r="E20" s="40" t="s">
        <v>76</v>
      </c>
      <c r="F20" s="43" t="s">
        <v>77</v>
      </c>
    </row>
    <row r="21" spans="1:7" x14ac:dyDescent="0.3">
      <c r="A21" s="58"/>
      <c r="B21" s="40" t="s">
        <v>71</v>
      </c>
      <c r="C21" s="44"/>
      <c r="D21" s="44"/>
      <c r="E21" s="44" t="s">
        <v>52</v>
      </c>
      <c r="F21" s="43" t="s">
        <v>78</v>
      </c>
    </row>
    <row r="22" spans="1:7" x14ac:dyDescent="0.3">
      <c r="A22" s="58"/>
      <c r="B22" s="40" t="s">
        <v>79</v>
      </c>
      <c r="C22" s="45" t="s">
        <v>47</v>
      </c>
      <c r="D22" s="46" t="s">
        <v>47</v>
      </c>
      <c r="E22" s="46" t="s">
        <v>50</v>
      </c>
      <c r="F22" s="43" t="s">
        <v>80</v>
      </c>
    </row>
    <row r="23" spans="1:7" x14ac:dyDescent="0.3">
      <c r="A23" s="58"/>
      <c r="B23" s="40" t="s">
        <v>79</v>
      </c>
      <c r="C23" s="45" t="s">
        <v>47</v>
      </c>
      <c r="D23" s="46" t="s">
        <v>47</v>
      </c>
      <c r="E23" s="40" t="s">
        <v>81</v>
      </c>
      <c r="F23" s="43" t="s">
        <v>82</v>
      </c>
    </row>
    <row r="24" spans="1:7" x14ac:dyDescent="0.3">
      <c r="A24" s="58"/>
      <c r="B24" s="40" t="s">
        <v>79</v>
      </c>
      <c r="C24" s="45" t="s">
        <v>47</v>
      </c>
      <c r="D24" s="46" t="s">
        <v>47</v>
      </c>
      <c r="E24" s="40" t="s">
        <v>83</v>
      </c>
      <c r="F24" s="43" t="s">
        <v>84</v>
      </c>
    </row>
    <row r="25" spans="1:7" x14ac:dyDescent="0.3">
      <c r="A25" s="58"/>
      <c r="B25" s="40" t="s">
        <v>79</v>
      </c>
      <c r="C25" s="43"/>
      <c r="D25" s="43"/>
      <c r="E25" s="40" t="s">
        <v>52</v>
      </c>
      <c r="F25" s="43" t="s">
        <v>85</v>
      </c>
    </row>
  </sheetData>
  <mergeCells count="2">
    <mergeCell ref="A2:A18"/>
    <mergeCell ref="A19:A2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REBATE </vt:lpstr>
      <vt:lpstr>Rebates</vt:lpstr>
      <vt:lpstr>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DICOL</cp:lastModifiedBy>
  <cp:revision>0</cp:revision>
  <dcterms:created xsi:type="dcterms:W3CDTF">2026-08-03T16:49:20Z</dcterms:created>
  <dcterms:modified xsi:type="dcterms:W3CDTF">2026-09-03T22:25:36Z</dcterms:modified>
  <dc:language>en-US</dc:language>
</cp:coreProperties>
</file>