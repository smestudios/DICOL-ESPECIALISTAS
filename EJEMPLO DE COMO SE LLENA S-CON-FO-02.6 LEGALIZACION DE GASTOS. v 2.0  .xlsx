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Agropaisa\Usuario\Descargas\"/>
    </mc:Choice>
  </mc:AlternateContent>
  <bookViews>
    <workbookView xWindow="0" yWindow="0" windowWidth="19200" windowHeight="6930" firstSheet="1" activeTab="1"/>
  </bookViews>
  <sheets>
    <sheet name="INSTRUCTIVO" sheetId="8" state="hidden" r:id="rId1"/>
    <sheet name="S-CON-FO-02" sheetId="7" r:id="rId2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2" i="7" l="1"/>
  <c r="I51" i="7"/>
  <c r="I53" i="7"/>
  <c r="I49" i="7"/>
  <c r="I54" i="7" l="1"/>
  <c r="I36" i="8"/>
  <c r="H39" i="8" s="1"/>
  <c r="H40" i="8" s="1"/>
  <c r="I58" i="7" l="1"/>
  <c r="I57" i="7"/>
</calcChain>
</file>

<file path=xl/comments1.xml><?xml version="1.0" encoding="utf-8"?>
<comments xmlns="http://schemas.openxmlformats.org/spreadsheetml/2006/main">
  <authors>
    <author>usuario</author>
  </authors>
  <commentList>
    <comment ref="G10" authorId="0" shapeId="0">
      <text>
        <r>
          <rPr>
            <b/>
            <sz val="14"/>
            <color indexed="81"/>
            <rFont val="Tahoma"/>
            <family val="2"/>
          </rPr>
          <t>SE DEBE DE INGRESAR LOS CONCEPTO DE FORMA ORGANIZADA, PARA QUE CUANDO REALICE LA SUMATORIO POR CONCEPTO SEA MAS FACIL.</t>
        </r>
      </text>
    </comment>
    <comment ref="I32" authorId="0" shapeId="0">
      <text>
        <r>
          <rPr>
            <b/>
            <sz val="14"/>
            <color indexed="81"/>
            <rFont val="Tahoma"/>
            <family val="2"/>
          </rPr>
          <t>SE DEBERA TOTALIZAR CADA CONCEPTO</t>
        </r>
      </text>
    </comment>
  </commentList>
</comments>
</file>

<file path=xl/comments2.xml><?xml version="1.0" encoding="utf-8"?>
<comments xmlns="http://schemas.openxmlformats.org/spreadsheetml/2006/main">
  <authors>
    <author>OpenAI</author>
  </authors>
  <commentList>
    <comment ref="E24" authorId="0" shapeId="0">
      <text>
        <r>
          <rPr>
            <sz val="11"/>
            <color theme="1"/>
            <rFont val="Calibri"/>
            <family val="2"/>
            <scheme val="minor"/>
          </rPr>
          <t>La foto asociada a la FACTURA 10 muestra fecha 27/08/2026 y factura No. 9301, aunque el listado del documento la identifica como archivo del 25/08/2026.</t>
        </r>
      </text>
    </comment>
    <comment ref="E26" authorId="0" shapeId="0">
      <text>
        <r>
          <rPr>
            <sz val="11"/>
            <color theme="1"/>
            <rFont val="Calibri"/>
            <family val="2"/>
            <scheme val="minor"/>
          </rPr>
          <t>La foto asociada a la FACTURA 11 muestra fecha 29/08/2026 y factura FEVD-363, aunque el listado del documento la identifica como 27/08/2026.</t>
        </r>
      </text>
    </comment>
    <comment ref="E27" authorId="0" shapeId="0">
      <text>
        <r>
          <rPr>
            <sz val="11"/>
            <color theme="1"/>
            <rFont val="Calibri"/>
            <family val="2"/>
            <scheme val="minor"/>
          </rPr>
          <t>La foto asociada a la FACTURA 12 corresponde a GMFE-3338, NIT 901959475 (Moratto), aunque el listado del documento la identifica con NIT 1116800241.</t>
        </r>
      </text>
    </comment>
  </commentList>
</comments>
</file>

<file path=xl/sharedStrings.xml><?xml version="1.0" encoding="utf-8"?>
<sst xmlns="http://schemas.openxmlformats.org/spreadsheetml/2006/main" count="201" uniqueCount="118">
  <si>
    <t>FORMATO DE LEGALIZACION DE GASTOS</t>
  </si>
  <si>
    <t>S-CON-FO-02.1</t>
  </si>
  <si>
    <t>Versión: 3.0</t>
  </si>
  <si>
    <t>Fecha: 18/07/2017</t>
  </si>
  <si>
    <t>Elaboró:
Jefe de Contabilidad</t>
  </si>
  <si>
    <t>Revisó: 
Gerente Administrativa y financiera</t>
  </si>
  <si>
    <t xml:space="preserve">Aprobó: 
Gerente Administrativa </t>
  </si>
  <si>
    <t>NOMBRE</t>
  </si>
  <si>
    <t>IDENTIFICACION:</t>
  </si>
  <si>
    <t>CARGO</t>
  </si>
  <si>
    <t>SEMANA</t>
  </si>
  <si>
    <t>CIUDAD Y FECHA</t>
  </si>
  <si>
    <t>CENTRO DE COSTO:</t>
  </si>
  <si>
    <t xml:space="preserve">TIPO DE LEGALIZACION:  </t>
  </si>
  <si>
    <t>FONDO CAJA MENOR:                        FONDO DE GASTOS:                       ANTICIPO:</t>
  </si>
  <si>
    <t>RUTA:</t>
  </si>
  <si>
    <t>#</t>
  </si>
  <si>
    <t>FECHA</t>
  </si>
  <si>
    <t>NO. FACTURA</t>
  </si>
  <si>
    <t xml:space="preserve">NIT </t>
  </si>
  <si>
    <t>NOMBRE PROVEEDOR</t>
  </si>
  <si>
    <t>CONCEPTO</t>
  </si>
  <si>
    <t>VALOR</t>
  </si>
  <si>
    <t xml:space="preserve"> Total de Peajes y Parqueadero</t>
  </si>
  <si>
    <t>Total de  Hotel</t>
  </si>
  <si>
    <t>Total de  Alimentacion</t>
  </si>
  <si>
    <t>Total de  Otros</t>
  </si>
  <si>
    <t>Total gastos</t>
  </si>
  <si>
    <t>Valor fondo o anticipo</t>
  </si>
  <si>
    <t xml:space="preserve">(-) Efectivo </t>
  </si>
  <si>
    <t>Valor a Legalizar</t>
  </si>
  <si>
    <t>Valor a reintegrar</t>
  </si>
  <si>
    <t>RESPONSABLE DEL FONDO O ANTICIPO:</t>
  </si>
  <si>
    <t>REVISADO:</t>
  </si>
  <si>
    <t>APROBADO:</t>
  </si>
  <si>
    <t>CONTABILIZADO:</t>
  </si>
  <si>
    <t xml:space="preserve">TIPO DE LEGALIZACION:      </t>
  </si>
  <si>
    <t xml:space="preserve">FONDO CAJA MENOR: </t>
  </si>
  <si>
    <t xml:space="preserve"> FONDO DE GASTOS: </t>
  </si>
  <si>
    <t>ANTICIPO:</t>
  </si>
  <si>
    <t>x</t>
  </si>
  <si>
    <t>DESCRIPCION C.O.</t>
  </si>
  <si>
    <t>MEDIO  PAGO</t>
  </si>
  <si>
    <t>S-CON-FO-02.6</t>
  </si>
  <si>
    <t>Versión: 2.0</t>
  </si>
  <si>
    <t>Actualización: 13/10/2023</t>
  </si>
  <si>
    <t>Alimentación</t>
  </si>
  <si>
    <t>Tarjeta Débito</t>
  </si>
  <si>
    <t>VAEX-749</t>
  </si>
  <si>
    <t>11410708</t>
  </si>
  <si>
    <t>WILLIAM AUGUSTO BAQUERO GUTIERREZ</t>
  </si>
  <si>
    <t>Consignación bancaria</t>
  </si>
  <si>
    <t>DCY-393</t>
  </si>
  <si>
    <t>80736368</t>
  </si>
  <si>
    <t>DiCarlo Yopal</t>
  </si>
  <si>
    <t>Alimentación: lasagna bolognese y ensalada cítrica</t>
  </si>
  <si>
    <t>21673</t>
  </si>
  <si>
    <t>41213862-6</t>
  </si>
  <si>
    <t>Erminda Lozano</t>
  </si>
  <si>
    <t>Servicio de restaurante</t>
  </si>
  <si>
    <t>Efectivo</t>
  </si>
  <si>
    <t>FEVD-354</t>
  </si>
  <si>
    <t>1115746672</t>
  </si>
  <si>
    <t>SARMIENTO VARGAS MILADY VERONICA</t>
  </si>
  <si>
    <t>Consumo de alimentos</t>
  </si>
  <si>
    <t>FVE-7220</t>
  </si>
  <si>
    <t>1116800241</t>
  </si>
  <si>
    <t>Sivia Juliana Blanco Uribe / THE HOUSE BURGUER</t>
  </si>
  <si>
    <t>FVDD-120</t>
  </si>
  <si>
    <t>12515055</t>
  </si>
  <si>
    <t>JORGE DURAN FRANCO</t>
  </si>
  <si>
    <t>Transferencia Débito</t>
  </si>
  <si>
    <t>HCM-7413</t>
  </si>
  <si>
    <t>901431853</t>
  </si>
  <si>
    <t>HMS MORALES SAS</t>
  </si>
  <si>
    <t>FEVD-357</t>
  </si>
  <si>
    <t>PVE-7230</t>
  </si>
  <si>
    <t>Alimentación: madurita, picanha y preparación de limonada</t>
  </si>
  <si>
    <t>9301</t>
  </si>
  <si>
    <t>23937467-1</t>
  </si>
  <si>
    <t>SIRLEY SEPULVEDA / RESTAURANTE Y ASADERO EL GARCERO</t>
  </si>
  <si>
    <t>FEVD-363</t>
  </si>
  <si>
    <t>Tarjeta Crédito</t>
  </si>
  <si>
    <t>GMFE-3338</t>
  </si>
  <si>
    <t>901959475</t>
  </si>
  <si>
    <t>MORATTO RESTAURANTE BISTRO - GRUPO MORATTO BISTRO SAS</t>
  </si>
  <si>
    <t>FEV-12</t>
  </si>
  <si>
    <t>1052836108</t>
  </si>
  <si>
    <t>Tributo Sabor Autentico</t>
  </si>
  <si>
    <t>Otros</t>
  </si>
  <si>
    <t>FEST-629</t>
  </si>
  <si>
    <t>900534041</t>
  </si>
  <si>
    <t>ESTACION DE SERVICIOS INTEGRALES TUTA S.A.S</t>
  </si>
  <si>
    <t>Combustible: gasolina corriente (6,04 gal)</t>
  </si>
  <si>
    <t>Sebastian Rengifo Valencia</t>
  </si>
  <si>
    <t>Especialista de zona</t>
  </si>
  <si>
    <t>Alimentación Sebastian y Wilmer</t>
  </si>
  <si>
    <t>Hotel</t>
  </si>
  <si>
    <t>Alimentacion</t>
  </si>
  <si>
    <t>9433864-8</t>
  </si>
  <si>
    <t>Restaurante y Asadero Parrillas Barragan</t>
  </si>
  <si>
    <t>Consumo de alimentos del 26 de agosto ( factura generada hasta el 29 )</t>
  </si>
  <si>
    <t>Consumo de alimentos: doble carne vaquera y chocolo ( es del 20 pero se genero el 21)</t>
  </si>
  <si>
    <t>Hospedaje (21 ,22,23 de agosto)</t>
  </si>
  <si>
    <t>Doña Lucre</t>
  </si>
  <si>
    <t>96189542-1</t>
  </si>
  <si>
    <t>Hidratacion</t>
  </si>
  <si>
    <t>FVJB-29</t>
  </si>
  <si>
    <t>JEINY ROCIO BETANCOURT BETANCOURT</t>
  </si>
  <si>
    <t>1014243245-2</t>
  </si>
  <si>
    <t>Yessica Alfonso Sanchez</t>
  </si>
  <si>
    <t>Lavanderia</t>
  </si>
  <si>
    <t>Hotel 27 agosto al 01 de seoptiembre y comida del 01 de septiembre</t>
  </si>
  <si>
    <t>800006073-7</t>
  </si>
  <si>
    <t>Hotel , Alimentacion</t>
  </si>
  <si>
    <t>HOTEL EL LAGO LTDA</t>
  </si>
  <si>
    <t>Alimentacion Cena</t>
  </si>
  <si>
    <t>Servicio de hospedaje (3 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</si>
</sst>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dd/mm/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1"/>
      <name val="Arial"/>
      <family val="2"/>
    </font>
    <font>
      <b/>
      <sz val="14"/>
      <color indexed="81"/>
      <name val="Tahoma"/>
      <family val="2"/>
    </font>
    <font>
      <b/>
      <sz val="16"/>
      <color theme="1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11">
    <xf numFmtId="0" fontId="0" fillId="0" borderId="0" xfId="0"/>
    <xf numFmtId="0" fontId="5" fillId="0" borderId="0" xfId="0" applyFont="1"/>
    <xf numFmtId="0" fontId="3" fillId="2" borderId="0" xfId="0" applyFont="1" applyFill="1" applyProtection="1">
      <protection locked="0"/>
    </xf>
    <xf numFmtId="0" fontId="6" fillId="2" borderId="5" xfId="0" applyFont="1" applyFill="1" applyBorder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7" fillId="2" borderId="22" xfId="0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vertical="center"/>
      <protection locked="0"/>
    </xf>
    <xf numFmtId="0" fontId="6" fillId="2" borderId="31" xfId="0" applyFont="1" applyFill="1" applyBorder="1" applyAlignment="1" applyProtection="1">
      <alignment horizontal="center" vertical="center"/>
      <protection locked="0"/>
    </xf>
    <xf numFmtId="0" fontId="7" fillId="2" borderId="23" xfId="0" applyFont="1" applyFill="1" applyBorder="1" applyAlignment="1" applyProtection="1">
      <alignment horizontal="center" vertical="center"/>
      <protection locked="0"/>
    </xf>
    <xf numFmtId="0" fontId="6" fillId="2" borderId="32" xfId="0" applyFont="1" applyFill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 applyProtection="1">
      <alignment vertical="center"/>
      <protection locked="0"/>
    </xf>
    <xf numFmtId="0" fontId="6" fillId="2" borderId="33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vertical="center"/>
      <protection locked="0"/>
    </xf>
    <xf numFmtId="0" fontId="1" fillId="2" borderId="31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 applyProtection="1">
      <alignment vertical="center"/>
      <protection locked="0"/>
    </xf>
    <xf numFmtId="0" fontId="1" fillId="2" borderId="3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5" borderId="31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8" fillId="3" borderId="13" xfId="0" applyFont="1" applyFill="1" applyBorder="1" applyAlignment="1" applyProtection="1">
      <alignment horizontal="center" vertical="center"/>
      <protection locked="0"/>
    </xf>
    <xf numFmtId="0" fontId="8" fillId="3" borderId="20" xfId="0" applyFont="1" applyFill="1" applyBorder="1" applyAlignment="1" applyProtection="1">
      <alignment horizontal="center" vertical="center"/>
      <protection locked="0"/>
    </xf>
    <xf numFmtId="0" fontId="8" fillId="3" borderId="21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6" fillId="2" borderId="9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0" fontId="1" fillId="2" borderId="40" xfId="0" applyFont="1" applyFill="1" applyBorder="1" applyAlignment="1">
      <alignment vertical="top"/>
    </xf>
    <xf numFmtId="0" fontId="7" fillId="2" borderId="22" xfId="0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1" fillId="2" borderId="16" xfId="0" applyFont="1" applyFill="1" applyBorder="1" applyAlignment="1" applyProtection="1">
      <alignment vertical="center" wrapText="1"/>
      <protection locked="0"/>
    </xf>
    <xf numFmtId="0" fontId="8" fillId="3" borderId="50" xfId="0" applyFont="1" applyFill="1" applyBorder="1" applyAlignment="1">
      <alignment horizontal="center" vertical="center"/>
    </xf>
    <xf numFmtId="0" fontId="8" fillId="3" borderId="51" xfId="0" applyFont="1" applyFill="1" applyBorder="1" applyAlignment="1">
      <alignment horizontal="center" vertical="center"/>
    </xf>
    <xf numFmtId="0" fontId="8" fillId="3" borderId="52" xfId="0" applyFont="1" applyFill="1" applyBorder="1" applyAlignment="1">
      <alignment horizontal="center" vertical="center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8" fillId="3" borderId="53" xfId="0" applyFont="1" applyFill="1" applyBorder="1" applyAlignment="1">
      <alignment horizontal="center" vertical="center"/>
    </xf>
    <xf numFmtId="0" fontId="1" fillId="2" borderId="19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horizontal="left" vertical="center" wrapText="1"/>
    </xf>
    <xf numFmtId="0" fontId="1" fillId="2" borderId="26" xfId="0" applyFont="1" applyFill="1" applyBorder="1" applyAlignment="1" applyProtection="1">
      <alignment vertical="center"/>
      <protection locked="0"/>
    </xf>
    <xf numFmtId="0" fontId="1" fillId="2" borderId="27" xfId="0" applyFont="1" applyFill="1" applyBorder="1" applyAlignment="1" applyProtection="1">
      <alignment vertical="center"/>
      <protection locked="0"/>
    </xf>
    <xf numFmtId="164" fontId="1" fillId="2" borderId="33" xfId="1" applyNumberFormat="1" applyFont="1" applyFill="1" applyBorder="1" applyAlignment="1" applyProtection="1">
      <alignment horizontal="center" vertical="center" wrapText="1"/>
      <protection locked="0"/>
    </xf>
    <xf numFmtId="164" fontId="1" fillId="5" borderId="49" xfId="1" applyNumberFormat="1" applyFont="1" applyFill="1" applyBorder="1" applyAlignment="1" applyProtection="1">
      <alignment horizontal="center" vertical="center"/>
      <protection locked="0"/>
    </xf>
    <xf numFmtId="164" fontId="6" fillId="2" borderId="32" xfId="1" applyNumberFormat="1" applyFont="1" applyFill="1" applyBorder="1" applyAlignment="1" applyProtection="1">
      <alignment horizontal="center" vertical="center"/>
      <protection locked="0"/>
    </xf>
    <xf numFmtId="164" fontId="6" fillId="2" borderId="33" xfId="1" applyNumberFormat="1" applyFont="1" applyFill="1" applyBorder="1" applyAlignment="1" applyProtection="1">
      <alignment horizontal="center" vertical="center"/>
      <protection locked="0"/>
    </xf>
    <xf numFmtId="0" fontId="1" fillId="2" borderId="25" xfId="0" applyFont="1" applyFill="1" applyBorder="1" applyAlignment="1" applyProtection="1">
      <alignment vertical="center"/>
      <protection locked="0"/>
    </xf>
    <xf numFmtId="0" fontId="1" fillId="2" borderId="26" xfId="0" applyFont="1" applyFill="1" applyBorder="1" applyAlignment="1" applyProtection="1">
      <alignment horizontal="right" vertical="center"/>
      <protection locked="0"/>
    </xf>
    <xf numFmtId="0" fontId="7" fillId="2" borderId="19" xfId="0" applyFont="1" applyFill="1" applyBorder="1" applyAlignment="1">
      <alignment horizontal="center" vertical="center"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6" fillId="2" borderId="4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38" xfId="0" applyFont="1" applyFill="1" applyBorder="1" applyAlignment="1" applyProtection="1">
      <alignment horizontal="center" vertical="center"/>
      <protection locked="0"/>
    </xf>
    <xf numFmtId="164" fontId="6" fillId="5" borderId="38" xfId="1" applyNumberFormat="1" applyFont="1" applyFill="1" applyBorder="1" applyAlignment="1" applyProtection="1">
      <alignment horizontal="center" vertical="center"/>
      <protection locked="0"/>
    </xf>
    <xf numFmtId="164" fontId="6" fillId="2" borderId="37" xfId="1" applyNumberFormat="1" applyFont="1" applyFill="1" applyBorder="1" applyAlignment="1" applyProtection="1">
      <alignment horizontal="center" vertical="center"/>
      <protection locked="0"/>
    </xf>
    <xf numFmtId="0" fontId="1" fillId="2" borderId="4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 applyProtection="1">
      <alignment vertical="center" wrapText="1"/>
      <protection locked="0"/>
    </xf>
    <xf numFmtId="0" fontId="1" fillId="2" borderId="56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164" fontId="1" fillId="2" borderId="59" xfId="1" applyNumberFormat="1" applyFont="1" applyFill="1" applyBorder="1" applyAlignment="1" applyProtection="1">
      <alignment horizontal="center" vertical="center" wrapText="1"/>
      <protection locked="0"/>
    </xf>
    <xf numFmtId="0" fontId="6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 applyProtection="1">
      <alignment vertical="center" wrapText="1"/>
      <protection locked="0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164" fontId="6" fillId="2" borderId="31" xfId="1" applyNumberFormat="1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 applyProtection="1">
      <alignment vertical="center" wrapText="1"/>
      <protection locked="0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164" fontId="6" fillId="2" borderId="32" xfId="1" applyNumberFormat="1" applyFont="1" applyFill="1" applyBorder="1" applyAlignment="1" applyProtection="1">
      <alignment horizontal="center" vertical="center" wrapText="1"/>
      <protection locked="0"/>
    </xf>
    <xf numFmtId="0" fontId="6" fillId="2" borderId="5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 applyProtection="1">
      <alignment vertical="center" wrapText="1"/>
      <protection locked="0"/>
    </xf>
    <xf numFmtId="0" fontId="6" fillId="2" borderId="56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164" fontId="6" fillId="2" borderId="59" xfId="1" applyNumberFormat="1" applyFont="1" applyFill="1" applyBorder="1" applyAlignment="1" applyProtection="1">
      <alignment horizontal="center" vertical="center" wrapText="1"/>
      <protection locked="0"/>
    </xf>
    <xf numFmtId="165" fontId="11" fillId="0" borderId="60" xfId="0" applyNumberFormat="1" applyFont="1" applyFill="1" applyBorder="1" applyAlignment="1">
      <alignment horizontal="right" vertical="top" shrinkToFit="1"/>
    </xf>
    <xf numFmtId="164" fontId="1" fillId="4" borderId="47" xfId="0" applyNumberFormat="1" applyFont="1" applyFill="1" applyBorder="1" applyAlignment="1" applyProtection="1">
      <alignment horizontal="center" vertical="center"/>
      <protection locked="0"/>
    </xf>
    <xf numFmtId="165" fontId="11" fillId="0" borderId="60" xfId="0" applyNumberFormat="1" applyFont="1" applyBorder="1" applyAlignment="1">
      <alignment horizontal="right" vertical="top" shrinkToFit="1"/>
    </xf>
    <xf numFmtId="14" fontId="6" fillId="2" borderId="19" xfId="0" applyNumberFormat="1" applyFont="1" applyFill="1" applyBorder="1" applyAlignment="1">
      <alignment horizontal="left" vertical="center"/>
    </xf>
    <xf numFmtId="0" fontId="6" fillId="2" borderId="61" xfId="0" applyFont="1" applyFill="1" applyBorder="1" applyAlignment="1" applyProtection="1">
      <alignment horizontal="center" vertical="center" wrapText="1"/>
      <protection locked="0"/>
    </xf>
    <xf numFmtId="0" fontId="6" fillId="2" borderId="61" xfId="0" applyFont="1" applyFill="1" applyBorder="1" applyAlignment="1" applyProtection="1">
      <alignment vertical="center" wrapText="1"/>
      <protection locked="0"/>
    </xf>
    <xf numFmtId="0" fontId="6" fillId="2" borderId="58" xfId="0" applyFont="1" applyFill="1" applyBorder="1" applyAlignment="1" applyProtection="1">
      <alignment horizontal="center" vertical="center" wrapText="1"/>
      <protection locked="0"/>
    </xf>
    <xf numFmtId="0" fontId="6" fillId="2" borderId="58" xfId="0" applyFont="1" applyFill="1" applyBorder="1" applyAlignment="1">
      <alignment horizontal="center" vertical="center" wrapText="1"/>
    </xf>
    <xf numFmtId="165" fontId="11" fillId="0" borderId="62" xfId="0" applyNumberFormat="1" applyFont="1" applyBorder="1" applyAlignment="1">
      <alignment horizontal="right" vertical="top" shrinkToFit="1"/>
    </xf>
    <xf numFmtId="165" fontId="11" fillId="0" borderId="63" xfId="0" applyNumberFormat="1" applyFont="1" applyBorder="1" applyAlignment="1">
      <alignment horizontal="right" vertical="top" shrinkToFit="1"/>
    </xf>
    <xf numFmtId="0" fontId="6" fillId="2" borderId="5" xfId="0" applyFont="1" applyFill="1" applyBorder="1" applyAlignment="1">
      <alignment horizontal="center" vertical="center" wrapText="1"/>
    </xf>
    <xf numFmtId="164" fontId="6" fillId="2" borderId="5" xfId="1" applyNumberFormat="1" applyFont="1" applyFill="1" applyBorder="1" applyAlignment="1" applyProtection="1">
      <alignment horizontal="center" vertical="center" wrapText="1"/>
      <protection locked="0"/>
    </xf>
    <xf numFmtId="0" fontId="7" fillId="2" borderId="50" xfId="0" applyFont="1" applyFill="1" applyBorder="1" applyAlignment="1">
      <alignment horizontal="center" vertical="center" wrapText="1"/>
    </xf>
    <xf numFmtId="14" fontId="6" fillId="2" borderId="5" xfId="0" applyNumberFormat="1" applyFont="1" applyFill="1" applyBorder="1" applyAlignment="1" applyProtection="1">
      <alignment vertical="center" wrapText="1"/>
      <protection locked="0"/>
    </xf>
    <xf numFmtId="0" fontId="6" fillId="6" borderId="5" xfId="0" applyFont="1" applyFill="1" applyBorder="1" applyAlignment="1" applyProtection="1">
      <alignment horizontal="center" vertical="center" wrapText="1"/>
      <protection locked="0"/>
    </xf>
    <xf numFmtId="0" fontId="6" fillId="6" borderId="9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left" vertical="center" wrapText="1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left" vertical="center" wrapText="1"/>
      <protection locked="0"/>
    </xf>
    <xf numFmtId="0" fontId="6" fillId="2" borderId="5" xfId="0" applyFont="1" applyFill="1" applyBorder="1" applyAlignment="1" applyProtection="1">
      <alignment horizontal="left" vertical="center"/>
      <protection locked="0"/>
    </xf>
    <xf numFmtId="0" fontId="6" fillId="2" borderId="22" xfId="0" applyFont="1" applyFill="1" applyBorder="1" applyAlignment="1" applyProtection="1">
      <alignment horizontal="left" vertical="center"/>
      <protection locked="0"/>
    </xf>
    <xf numFmtId="0" fontId="6" fillId="2" borderId="9" xfId="0" applyFont="1" applyFill="1" applyBorder="1" applyAlignment="1" applyProtection="1">
      <alignment horizontal="left" vertical="center"/>
      <protection locked="0"/>
    </xf>
    <xf numFmtId="0" fontId="2" fillId="4" borderId="9" xfId="0" applyFont="1" applyFill="1" applyBorder="1" applyAlignment="1" applyProtection="1">
      <alignment horizontal="center" vertical="center"/>
      <protection locked="0"/>
    </xf>
    <xf numFmtId="0" fontId="2" fillId="4" borderId="31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left" vertical="center"/>
      <protection locked="0"/>
    </xf>
    <xf numFmtId="0" fontId="2" fillId="4" borderId="5" xfId="0" applyFont="1" applyFill="1" applyBorder="1" applyAlignment="1" applyProtection="1">
      <alignment horizontal="center" vertical="center"/>
      <protection locked="0"/>
    </xf>
    <xf numFmtId="0" fontId="2" fillId="4" borderId="32" xfId="0" applyFont="1" applyFill="1" applyBorder="1" applyAlignment="1" applyProtection="1">
      <alignment horizontal="center" vertical="center"/>
      <protection locked="0"/>
    </xf>
    <xf numFmtId="0" fontId="8" fillId="3" borderId="20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36" xfId="0" applyFont="1" applyFill="1" applyBorder="1" applyAlignment="1" applyProtection="1">
      <alignment horizontal="right" vertical="center"/>
      <protection locked="0"/>
    </xf>
    <xf numFmtId="0" fontId="1" fillId="2" borderId="11" xfId="0" applyFont="1" applyFill="1" applyBorder="1" applyAlignment="1" applyProtection="1">
      <alignment horizontal="right" vertical="center"/>
      <protection locked="0"/>
    </xf>
    <xf numFmtId="0" fontId="1" fillId="2" borderId="12" xfId="0" applyFont="1" applyFill="1" applyBorder="1" applyAlignment="1" applyProtection="1">
      <alignment horizontal="right" vertical="center"/>
      <protection locked="0"/>
    </xf>
    <xf numFmtId="0" fontId="1" fillId="2" borderId="23" xfId="0" applyFont="1" applyFill="1" applyBorder="1" applyAlignment="1" applyProtection="1">
      <alignment horizontal="right" vertical="center"/>
      <protection locked="0"/>
    </xf>
    <xf numFmtId="0" fontId="1" fillId="2" borderId="5" xfId="0" applyFont="1" applyFill="1" applyBorder="1" applyAlignment="1" applyProtection="1">
      <alignment horizontal="right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32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2" fillId="2" borderId="29" xfId="0" applyFont="1" applyFill="1" applyBorder="1" applyAlignment="1" applyProtection="1">
      <alignment horizontal="left" vertical="top"/>
      <protection locked="0"/>
    </xf>
    <xf numFmtId="0" fontId="2" fillId="2" borderId="7" xfId="0" applyFont="1" applyFill="1" applyBorder="1" applyAlignment="1" applyProtection="1">
      <alignment horizontal="left" vertical="top"/>
      <protection locked="0"/>
    </xf>
    <xf numFmtId="0" fontId="2" fillId="2" borderId="8" xfId="0" applyFont="1" applyFill="1" applyBorder="1" applyAlignment="1" applyProtection="1">
      <alignment horizontal="left" vertical="top"/>
      <protection locked="0"/>
    </xf>
    <xf numFmtId="0" fontId="2" fillId="2" borderId="30" xfId="0" applyFont="1" applyFill="1" applyBorder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left" vertical="top"/>
      <protection locked="0"/>
    </xf>
    <xf numFmtId="0" fontId="2" fillId="2" borderId="1" xfId="0" applyFont="1" applyFill="1" applyBorder="1" applyAlignment="1" applyProtection="1">
      <alignment horizontal="left" vertical="top"/>
      <protection locked="0"/>
    </xf>
    <xf numFmtId="0" fontId="2" fillId="2" borderId="28" xfId="0" applyFont="1" applyFill="1" applyBorder="1" applyAlignment="1" applyProtection="1">
      <alignment horizontal="left" vertical="top"/>
      <protection locked="0"/>
    </xf>
    <xf numFmtId="0" fontId="2" fillId="2" borderId="14" xfId="0" applyFont="1" applyFill="1" applyBorder="1" applyAlignment="1" applyProtection="1">
      <alignment horizontal="left" vertical="top"/>
      <protection locked="0"/>
    </xf>
    <xf numFmtId="0" fontId="2" fillId="2" borderId="15" xfId="0" applyFont="1" applyFill="1" applyBorder="1" applyAlignment="1" applyProtection="1">
      <alignment horizontal="left" vertical="top"/>
      <protection locked="0"/>
    </xf>
    <xf numFmtId="0" fontId="2" fillId="2" borderId="9" xfId="0" applyFont="1" applyFill="1" applyBorder="1" applyAlignment="1" applyProtection="1">
      <alignment horizontal="left" vertical="top"/>
      <protection locked="0"/>
    </xf>
    <xf numFmtId="0" fontId="2" fillId="2" borderId="5" xfId="0" applyFont="1" applyFill="1" applyBorder="1" applyAlignment="1" applyProtection="1">
      <alignment horizontal="left" vertical="top"/>
      <protection locked="0"/>
    </xf>
    <xf numFmtId="0" fontId="2" fillId="2" borderId="16" xfId="0" applyFont="1" applyFill="1" applyBorder="1" applyAlignment="1" applyProtection="1">
      <alignment horizontal="left" vertical="top"/>
      <protection locked="0"/>
    </xf>
    <xf numFmtId="0" fontId="2" fillId="2" borderId="31" xfId="0" applyFont="1" applyFill="1" applyBorder="1" applyAlignment="1" applyProtection="1">
      <alignment horizontal="left" vertical="top"/>
      <protection locked="0"/>
    </xf>
    <xf numFmtId="0" fontId="2" fillId="2" borderId="32" xfId="0" applyFont="1" applyFill="1" applyBorder="1" applyAlignment="1" applyProtection="1">
      <alignment horizontal="left" vertical="top"/>
      <protection locked="0"/>
    </xf>
    <xf numFmtId="0" fontId="2" fillId="2" borderId="33" xfId="0" applyFont="1" applyFill="1" applyBorder="1" applyAlignment="1" applyProtection="1">
      <alignment horizontal="left" vertical="top"/>
      <protection locked="0"/>
    </xf>
    <xf numFmtId="0" fontId="2" fillId="4" borderId="16" xfId="0" applyFont="1" applyFill="1" applyBorder="1" applyAlignment="1" applyProtection="1">
      <alignment horizontal="center" vertical="center"/>
      <protection locked="0"/>
    </xf>
    <xf numFmtId="0" fontId="2" fillId="4" borderId="33" xfId="0" applyFont="1" applyFill="1" applyBorder="1" applyAlignment="1" applyProtection="1">
      <alignment horizontal="center" vertical="center"/>
      <protection locked="0"/>
    </xf>
    <xf numFmtId="0" fontId="6" fillId="2" borderId="34" xfId="0" applyFont="1" applyFill="1" applyBorder="1" applyAlignment="1" applyProtection="1">
      <alignment horizontal="left" vertical="center"/>
      <protection locked="0"/>
    </xf>
    <xf numFmtId="0" fontId="6" fillId="2" borderId="19" xfId="0" applyFont="1" applyFill="1" applyBorder="1" applyAlignment="1" applyProtection="1">
      <alignment horizontal="left" vertical="center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6" fillId="5" borderId="32" xfId="0" applyFont="1" applyFill="1" applyBorder="1" applyAlignment="1" applyProtection="1">
      <alignment horizontal="center" vertical="center"/>
      <protection locked="0"/>
    </xf>
    <xf numFmtId="0" fontId="1" fillId="2" borderId="24" xfId="0" applyFont="1" applyFill="1" applyBorder="1" applyAlignment="1" applyProtection="1">
      <alignment horizontal="right" vertical="center"/>
      <protection locked="0"/>
    </xf>
    <xf numFmtId="0" fontId="1" fillId="2" borderId="16" xfId="0" applyFont="1" applyFill="1" applyBorder="1" applyAlignment="1" applyProtection="1">
      <alignment horizontal="right" vertical="center"/>
      <protection locked="0"/>
    </xf>
    <xf numFmtId="0" fontId="6" fillId="2" borderId="16" xfId="0" applyFont="1" applyFill="1" applyBorder="1" applyAlignment="1" applyProtection="1">
      <alignment horizontal="center" vertical="center"/>
      <protection locked="0"/>
    </xf>
    <xf numFmtId="0" fontId="6" fillId="2" borderId="33" xfId="0" applyFont="1" applyFill="1" applyBorder="1" applyAlignment="1" applyProtection="1">
      <alignment horizontal="center" vertical="center"/>
      <protection locked="0"/>
    </xf>
    <xf numFmtId="0" fontId="1" fillId="2" borderId="35" xfId="0" applyFont="1" applyFill="1" applyBorder="1" applyAlignment="1" applyProtection="1">
      <alignment horizontal="right" vertical="center"/>
      <protection locked="0"/>
    </xf>
    <xf numFmtId="0" fontId="1" fillId="2" borderId="3" xfId="0" applyFont="1" applyFill="1" applyBorder="1" applyAlignment="1" applyProtection="1">
      <alignment horizontal="right" vertical="center"/>
      <protection locked="0"/>
    </xf>
    <xf numFmtId="0" fontId="1" fillId="2" borderId="4" xfId="0" applyFont="1" applyFill="1" applyBorder="1" applyAlignment="1" applyProtection="1">
      <alignment horizontal="right" vertical="center"/>
      <protection locked="0"/>
    </xf>
    <xf numFmtId="0" fontId="1" fillId="2" borderId="34" xfId="0" applyFont="1" applyFill="1" applyBorder="1" applyAlignment="1" applyProtection="1">
      <alignment horizontal="right" vertical="center"/>
      <protection locked="0"/>
    </xf>
    <xf numFmtId="0" fontId="1" fillId="2" borderId="18" xfId="0" applyFont="1" applyFill="1" applyBorder="1" applyAlignment="1" applyProtection="1">
      <alignment horizontal="right" vertical="center"/>
      <protection locked="0"/>
    </xf>
    <xf numFmtId="0" fontId="1" fillId="2" borderId="19" xfId="0" applyFont="1" applyFill="1" applyBorder="1" applyAlignment="1" applyProtection="1">
      <alignment horizontal="right" vertical="center"/>
      <protection locked="0"/>
    </xf>
    <xf numFmtId="0" fontId="1" fillId="2" borderId="43" xfId="0" applyFont="1" applyFill="1" applyBorder="1" applyAlignment="1" applyProtection="1">
      <alignment horizontal="center" vertical="top"/>
      <protection locked="0"/>
    </xf>
    <xf numFmtId="0" fontId="1" fillId="2" borderId="45" xfId="0" applyFont="1" applyFill="1" applyBorder="1" applyAlignment="1" applyProtection="1">
      <alignment horizontal="center" vertical="top"/>
      <protection locked="0"/>
    </xf>
    <xf numFmtId="0" fontId="1" fillId="2" borderId="2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2" borderId="24" xfId="0" applyFont="1" applyFill="1" applyBorder="1" applyAlignment="1">
      <alignment horizontal="right" vertical="center"/>
    </xf>
    <xf numFmtId="0" fontId="1" fillId="2" borderId="19" xfId="0" applyFont="1" applyFill="1" applyBorder="1" applyAlignment="1">
      <alignment horizontal="right" vertical="center"/>
    </xf>
    <xf numFmtId="0" fontId="1" fillId="2" borderId="16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right" vertical="center"/>
    </xf>
    <xf numFmtId="0" fontId="1" fillId="2" borderId="42" xfId="0" applyFont="1" applyFill="1" applyBorder="1" applyAlignment="1" applyProtection="1">
      <alignment horizontal="center" vertical="top"/>
      <protection locked="0"/>
    </xf>
    <xf numFmtId="0" fontId="1" fillId="2" borderId="44" xfId="0" applyFont="1" applyFill="1" applyBorder="1" applyAlignment="1" applyProtection="1">
      <alignment horizontal="center" vertical="top"/>
      <protection locked="0"/>
    </xf>
    <xf numFmtId="0" fontId="1" fillId="2" borderId="30" xfId="0" applyFont="1" applyFill="1" applyBorder="1" applyAlignment="1" applyProtection="1">
      <alignment horizontal="center" vertical="top"/>
      <protection locked="0"/>
    </xf>
    <xf numFmtId="0" fontId="1" fillId="2" borderId="0" xfId="0" applyFont="1" applyFill="1" applyAlignment="1" applyProtection="1">
      <alignment horizontal="center" vertical="top"/>
      <protection locked="0"/>
    </xf>
    <xf numFmtId="0" fontId="1" fillId="2" borderId="1" xfId="0" applyFont="1" applyFill="1" applyBorder="1" applyAlignment="1" applyProtection="1">
      <alignment horizontal="center" vertical="top"/>
      <protection locked="0"/>
    </xf>
    <xf numFmtId="0" fontId="1" fillId="2" borderId="28" xfId="0" applyFont="1" applyFill="1" applyBorder="1" applyAlignment="1" applyProtection="1">
      <alignment horizontal="center" vertical="top"/>
      <protection locked="0"/>
    </xf>
    <xf numFmtId="0" fontId="1" fillId="2" borderId="14" xfId="0" applyFont="1" applyFill="1" applyBorder="1" applyAlignment="1" applyProtection="1">
      <alignment horizontal="center" vertical="top"/>
      <protection locked="0"/>
    </xf>
    <xf numFmtId="0" fontId="1" fillId="2" borderId="15" xfId="0" applyFont="1" applyFill="1" applyBorder="1" applyAlignment="1" applyProtection="1">
      <alignment horizontal="center" vertical="top"/>
      <protection locked="0"/>
    </xf>
    <xf numFmtId="0" fontId="1" fillId="2" borderId="29" xfId="0" applyFont="1" applyFill="1" applyBorder="1" applyAlignment="1">
      <alignment horizontal="left" vertical="top"/>
    </xf>
    <xf numFmtId="0" fontId="1" fillId="2" borderId="41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6" fillId="2" borderId="36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2" fillId="4" borderId="10" xfId="0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 wrapText="1"/>
    </xf>
    <xf numFmtId="0" fontId="10" fillId="2" borderId="54" xfId="0" applyFont="1" applyFill="1" applyBorder="1" applyAlignment="1">
      <alignment horizontal="center" vertical="center" wrapText="1"/>
    </xf>
    <xf numFmtId="0" fontId="10" fillId="2" borderId="55" xfId="0" applyFont="1" applyFill="1" applyBorder="1" applyAlignment="1">
      <alignment horizontal="center" vertical="center" wrapText="1"/>
    </xf>
    <xf numFmtId="0" fontId="10" fillId="2" borderId="56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57" xfId="0" applyFont="1" applyFill="1" applyBorder="1" applyAlignment="1">
      <alignment horizontal="center" vertical="center" wrapText="1"/>
    </xf>
    <xf numFmtId="0" fontId="10" fillId="2" borderId="48" xfId="0" applyFont="1" applyFill="1" applyBorder="1" applyAlignment="1">
      <alignment horizontal="center" vertical="center" wrapText="1"/>
    </xf>
    <xf numFmtId="0" fontId="10" fillId="2" borderId="58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" fillId="2" borderId="46" xfId="0" applyFont="1" applyFill="1" applyBorder="1" applyAlignment="1">
      <alignment horizontal="right" vertical="center"/>
    </xf>
    <xf numFmtId="0" fontId="1" fillId="2" borderId="48" xfId="0" applyFont="1" applyFill="1" applyBorder="1" applyAlignment="1">
      <alignment horizontal="right" vertical="center"/>
    </xf>
    <xf numFmtId="0" fontId="2" fillId="4" borderId="17" xfId="0" applyFont="1" applyFill="1" applyBorder="1" applyAlignment="1" applyProtection="1">
      <alignment horizontal="center" vertical="center"/>
      <protection locked="0"/>
    </xf>
    <xf numFmtId="0" fontId="2" fillId="4" borderId="37" xfId="0" applyFont="1" applyFill="1" applyBorder="1" applyAlignment="1" applyProtection="1">
      <alignment horizontal="center" vertical="center"/>
      <protection locked="0"/>
    </xf>
    <xf numFmtId="0" fontId="2" fillId="4" borderId="2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6" fillId="2" borderId="35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34" xfId="0" applyFont="1" applyFill="1" applyBorder="1" applyAlignment="1">
      <alignment horizontal="left" vertical="center"/>
    </xf>
    <xf numFmtId="0" fontId="6" fillId="2" borderId="18" xfId="0" applyFont="1" applyFill="1" applyBorder="1" applyAlignment="1">
      <alignment horizontal="left" vertical="center"/>
    </xf>
    <xf numFmtId="0" fontId="6" fillId="2" borderId="19" xfId="0" applyFont="1" applyFill="1" applyBorder="1" applyAlignment="1">
      <alignment horizontal="left" vertical="center"/>
    </xf>
    <xf numFmtId="0" fontId="1" fillId="2" borderId="26" xfId="0" applyFont="1" applyFill="1" applyBorder="1" applyAlignment="1" applyProtection="1">
      <alignment horizontal="left" vertic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1481138</xdr:colOff>
      <xdr:row>7</xdr:row>
      <xdr:rowOff>9525</xdr:rowOff>
    </xdr:from>
    <xdr:to>
      <xdr:col>3</xdr:col>
      <xdr:colOff>16669</xdr:colOff>
      <xdr:row>7</xdr:row>
      <xdr:rowOff>200025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A548EDCA-0D05-48B7-8F70-1502AA6B4492}"/>
            </a:ext>
          </a:extLst>
        </xdr:cNvPr>
        <xdr:cNvSpPr/>
      </xdr:nvSpPr>
      <xdr:spPr>
        <a:xfrm>
          <a:off x="3005138" y="1712119"/>
          <a:ext cx="28575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1776413</xdr:colOff>
      <xdr:row>7</xdr:row>
      <xdr:rowOff>21431</xdr:rowOff>
    </xdr:from>
    <xdr:to>
      <xdr:col>3</xdr:col>
      <xdr:colOff>2062163</xdr:colOff>
      <xdr:row>7</xdr:row>
      <xdr:rowOff>211931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678C3944-8C42-4938-976E-5961AD3AE234}"/>
            </a:ext>
          </a:extLst>
        </xdr:cNvPr>
        <xdr:cNvSpPr/>
      </xdr:nvSpPr>
      <xdr:spPr>
        <a:xfrm>
          <a:off x="5050632" y="1724025"/>
          <a:ext cx="28575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1250156</xdr:colOff>
      <xdr:row>7</xdr:row>
      <xdr:rowOff>33337</xdr:rowOff>
    </xdr:from>
    <xdr:to>
      <xdr:col>5</xdr:col>
      <xdr:colOff>11906</xdr:colOff>
      <xdr:row>7</xdr:row>
      <xdr:rowOff>223837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4931306A-33E3-42C0-82B1-D2FD6B277F40}"/>
            </a:ext>
          </a:extLst>
        </xdr:cNvPr>
        <xdr:cNvSpPr/>
      </xdr:nvSpPr>
      <xdr:spPr>
        <a:xfrm>
          <a:off x="6607969" y="1735931"/>
          <a:ext cx="28575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</xdr:col>
      <xdr:colOff>381001</xdr:colOff>
      <xdr:row>0</xdr:row>
      <xdr:rowOff>47625</xdr:rowOff>
    </xdr:from>
    <xdr:to>
      <xdr:col>2</xdr:col>
      <xdr:colOff>444500</xdr:colOff>
      <xdr:row>2</xdr:row>
      <xdr:rowOff>164042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5444020-8EF8-4DE9-A730-51A61194B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251" y="47625"/>
          <a:ext cx="1365249" cy="5609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1508125</xdr:colOff>
      <xdr:row>8</xdr:row>
      <xdr:rowOff>52917</xdr:rowOff>
    </xdr:from>
    <xdr:to>
      <xdr:col>5</xdr:col>
      <xdr:colOff>353786</xdr:colOff>
      <xdr:row>8</xdr:row>
      <xdr:rowOff>272143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8287185C-D64B-4C41-A85C-B72F3AFFE42F}"/>
            </a:ext>
          </a:extLst>
        </xdr:cNvPr>
        <xdr:cNvSpPr/>
      </xdr:nvSpPr>
      <xdr:spPr>
        <a:xfrm>
          <a:off x="5413375" y="1862667"/>
          <a:ext cx="356054" cy="2192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7</xdr:col>
      <xdr:colOff>0</xdr:colOff>
      <xdr:row>8</xdr:row>
      <xdr:rowOff>52916</xdr:rowOff>
    </xdr:from>
    <xdr:to>
      <xdr:col>7</xdr:col>
      <xdr:colOff>266700</xdr:colOff>
      <xdr:row>8</xdr:row>
      <xdr:rowOff>243416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8373CA6E-D789-415D-B5FB-C73ED87196CF}"/>
            </a:ext>
          </a:extLst>
        </xdr:cNvPr>
        <xdr:cNvSpPr/>
      </xdr:nvSpPr>
      <xdr:spPr>
        <a:xfrm>
          <a:off x="7408333" y="1788583"/>
          <a:ext cx="2667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8</xdr:col>
      <xdr:colOff>904120</xdr:colOff>
      <xdr:row>8</xdr:row>
      <xdr:rowOff>77107</xdr:rowOff>
    </xdr:from>
    <xdr:to>
      <xdr:col>8</xdr:col>
      <xdr:colOff>1170820</xdr:colOff>
      <xdr:row>8</xdr:row>
      <xdr:rowOff>267607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C3ED166F-F810-4274-85D3-59EE9ACFCEEB}"/>
            </a:ext>
          </a:extLst>
        </xdr:cNvPr>
        <xdr:cNvSpPr/>
      </xdr:nvSpPr>
      <xdr:spPr>
        <a:xfrm>
          <a:off x="12973656" y="1886857"/>
          <a:ext cx="2667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1</xdr:col>
      <xdr:colOff>95250</xdr:colOff>
      <xdr:row>0</xdr:row>
      <xdr:rowOff>81643</xdr:rowOff>
    </xdr:from>
    <xdr:to>
      <xdr:col>1</xdr:col>
      <xdr:colOff>2148918</xdr:colOff>
      <xdr:row>2</xdr:row>
      <xdr:rowOff>149678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CA0CE9-6905-55D9-A3AF-8536D95CD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964" y="81643"/>
          <a:ext cx="1976562" cy="503464"/>
        </a:xfrm>
        <a:prstGeom prst="rect">
          <a:avLst/>
        </a:prstGeom>
      </xdr:spPr>
    </xdr:pic>
    <xdr:clientData/>
  </xdr:twoCellAnchor>
  <xdr:twoCellAnchor editAs="oneCell">
    <xdr:from>
      <xdr:col>1</xdr:col>
      <xdr:colOff>1799167</xdr:colOff>
      <xdr:row>59</xdr:row>
      <xdr:rowOff>4429</xdr:rowOff>
    </xdr:from>
    <xdr:to>
      <xdr:col>3</xdr:col>
      <xdr:colOff>1259416</xdr:colOff>
      <xdr:row>60</xdr:row>
      <xdr:rowOff>380375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2000" y="18038429"/>
          <a:ext cx="3365499" cy="7146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3"/>
  <sheetViews>
    <sheetView showGridLines="0" zoomScale="60" zoomScaleNormal="60" zoomScaleSheetLayoutView="100" workbookViewId="0">
      <selection activeCell="N23" sqref="M23:N23"/>
    </sheetView>
  </sheetViews>
  <sheetFormatPr baseColWidth="10" defaultColWidth="11.453125" defaultRowHeight="14.5" x14ac:dyDescent="0.35"/>
  <cols>
    <col min="1" max="1" width="3.26953125" style="2" customWidth="1"/>
    <col min="2" max="2" width="19.54296875" style="2" customWidth="1"/>
    <col min="3" max="3" width="26.26953125" style="2" customWidth="1"/>
    <col min="4" max="4" width="31.26953125" style="2" customWidth="1"/>
    <col min="5" max="5" width="22.81640625" style="2" customWidth="1"/>
    <col min="6" max="6" width="30.26953125" style="2" customWidth="1"/>
    <col min="7" max="7" width="31.26953125" style="2" customWidth="1"/>
    <col min="8" max="8" width="16.7265625" style="2" customWidth="1"/>
    <col min="9" max="9" width="13.453125" style="2" customWidth="1"/>
    <col min="10" max="16384" width="11.453125" style="1"/>
  </cols>
  <sheetData>
    <row r="1" spans="1:9" ht="17.25" customHeight="1" x14ac:dyDescent="0.35">
      <c r="A1" s="102"/>
      <c r="B1" s="102"/>
      <c r="C1" s="102"/>
      <c r="D1" s="103" t="s">
        <v>0</v>
      </c>
      <c r="E1" s="103"/>
      <c r="F1" s="103"/>
      <c r="G1" s="103"/>
      <c r="H1" s="104" t="s">
        <v>1</v>
      </c>
      <c r="I1" s="104"/>
    </row>
    <row r="2" spans="1:9" ht="17.25" customHeight="1" x14ac:dyDescent="0.35">
      <c r="A2" s="102"/>
      <c r="B2" s="102"/>
      <c r="C2" s="102"/>
      <c r="D2" s="103"/>
      <c r="E2" s="103"/>
      <c r="F2" s="103"/>
      <c r="G2" s="103"/>
      <c r="H2" s="105" t="s">
        <v>2</v>
      </c>
      <c r="I2" s="105"/>
    </row>
    <row r="3" spans="1:9" ht="17.25" customHeight="1" x14ac:dyDescent="0.35">
      <c r="A3" s="102"/>
      <c r="B3" s="102"/>
      <c r="C3" s="102"/>
      <c r="D3" s="103"/>
      <c r="E3" s="103"/>
      <c r="F3" s="103"/>
      <c r="G3" s="103"/>
      <c r="H3" s="105" t="s">
        <v>3</v>
      </c>
      <c r="I3" s="105"/>
    </row>
    <row r="4" spans="1:9" ht="27" customHeight="1" thickBot="1" x14ac:dyDescent="0.4">
      <c r="A4" s="101" t="s">
        <v>4</v>
      </c>
      <c r="B4" s="101"/>
      <c r="C4" s="101"/>
      <c r="D4" s="101" t="s">
        <v>5</v>
      </c>
      <c r="E4" s="101"/>
      <c r="F4" s="101"/>
      <c r="G4" s="101"/>
      <c r="H4" s="101" t="s">
        <v>6</v>
      </c>
      <c r="I4" s="101"/>
    </row>
    <row r="5" spans="1:9" s="21" customFormat="1" ht="18.75" customHeight="1" x14ac:dyDescent="0.35">
      <c r="A5" s="106" t="s">
        <v>7</v>
      </c>
      <c r="B5" s="107"/>
      <c r="C5" s="108"/>
      <c r="D5" s="108"/>
      <c r="E5" s="108"/>
      <c r="F5" s="6" t="s">
        <v>8</v>
      </c>
      <c r="G5" s="108"/>
      <c r="H5" s="108"/>
      <c r="I5" s="109"/>
    </row>
    <row r="6" spans="1:9" s="21" customFormat="1" ht="18.75" customHeight="1" x14ac:dyDescent="0.35">
      <c r="A6" s="110" t="s">
        <v>9</v>
      </c>
      <c r="B6" s="105"/>
      <c r="C6" s="111"/>
      <c r="D6" s="111"/>
      <c r="E6" s="111"/>
      <c r="F6" s="3" t="s">
        <v>10</v>
      </c>
      <c r="G6" s="111"/>
      <c r="H6" s="111"/>
      <c r="I6" s="112"/>
    </row>
    <row r="7" spans="1:9" s="21" customFormat="1" ht="18.75" customHeight="1" x14ac:dyDescent="0.35">
      <c r="A7" s="110" t="s">
        <v>11</v>
      </c>
      <c r="B7" s="105"/>
      <c r="C7" s="111"/>
      <c r="D7" s="111"/>
      <c r="E7" s="111"/>
      <c r="F7" s="3" t="s">
        <v>12</v>
      </c>
      <c r="G7" s="111"/>
      <c r="H7" s="111"/>
      <c r="I7" s="112"/>
    </row>
    <row r="8" spans="1:9" s="22" customFormat="1" ht="18.75" customHeight="1" thickBot="1" x14ac:dyDescent="0.4">
      <c r="A8" s="144" t="s">
        <v>13</v>
      </c>
      <c r="B8" s="145"/>
      <c r="C8" s="10" t="s">
        <v>14</v>
      </c>
      <c r="D8" s="10"/>
      <c r="E8" s="10"/>
      <c r="F8" s="10" t="s">
        <v>15</v>
      </c>
      <c r="G8" s="142"/>
      <c r="H8" s="142"/>
      <c r="I8" s="143"/>
    </row>
    <row r="9" spans="1:9" s="4" customFormat="1" ht="21.75" customHeight="1" thickBot="1" x14ac:dyDescent="0.4">
      <c r="A9" s="23" t="s">
        <v>16</v>
      </c>
      <c r="B9" s="24" t="s">
        <v>17</v>
      </c>
      <c r="C9" s="24" t="s">
        <v>18</v>
      </c>
      <c r="D9" s="24" t="s">
        <v>19</v>
      </c>
      <c r="E9" s="113" t="s">
        <v>20</v>
      </c>
      <c r="F9" s="113"/>
      <c r="G9" s="113" t="s">
        <v>21</v>
      </c>
      <c r="H9" s="113"/>
      <c r="I9" s="25" t="s">
        <v>22</v>
      </c>
    </row>
    <row r="10" spans="1:9" customFormat="1" ht="19.5" customHeight="1" x14ac:dyDescent="0.35">
      <c r="A10" s="5">
        <v>1</v>
      </c>
      <c r="B10" s="12"/>
      <c r="C10" s="12"/>
      <c r="D10" s="12"/>
      <c r="E10" s="114"/>
      <c r="F10" s="115"/>
      <c r="G10" s="114"/>
      <c r="H10" s="115"/>
      <c r="I10" s="13"/>
    </row>
    <row r="11" spans="1:9" customFormat="1" ht="19.5" customHeight="1" x14ac:dyDescent="0.35">
      <c r="A11" s="8">
        <v>2</v>
      </c>
      <c r="B11" s="14"/>
      <c r="C11" s="14"/>
      <c r="D11" s="14"/>
      <c r="E11" s="116"/>
      <c r="F11" s="117"/>
      <c r="G11" s="116"/>
      <c r="H11" s="117"/>
      <c r="I11" s="15"/>
    </row>
    <row r="12" spans="1:9" customFormat="1" ht="19.5" customHeight="1" x14ac:dyDescent="0.35">
      <c r="A12" s="8">
        <v>3</v>
      </c>
      <c r="B12" s="14"/>
      <c r="C12" s="14"/>
      <c r="D12" s="14"/>
      <c r="E12" s="116"/>
      <c r="F12" s="117"/>
      <c r="G12" s="116"/>
      <c r="H12" s="117"/>
      <c r="I12" s="15"/>
    </row>
    <row r="13" spans="1:9" customFormat="1" ht="19.5" customHeight="1" x14ac:dyDescent="0.35">
      <c r="A13" s="8">
        <v>4</v>
      </c>
      <c r="B13" s="14"/>
      <c r="C13" s="14"/>
      <c r="D13" s="14"/>
      <c r="E13" s="116"/>
      <c r="F13" s="117"/>
      <c r="G13" s="116"/>
      <c r="H13" s="117"/>
      <c r="I13" s="15"/>
    </row>
    <row r="14" spans="1:9" customFormat="1" ht="19.5" customHeight="1" x14ac:dyDescent="0.35">
      <c r="A14" s="8">
        <v>5</v>
      </c>
      <c r="B14" s="14"/>
      <c r="C14" s="14"/>
      <c r="D14" s="14"/>
      <c r="E14" s="116"/>
      <c r="F14" s="117"/>
      <c r="G14" s="116"/>
      <c r="H14" s="117"/>
      <c r="I14" s="15"/>
    </row>
    <row r="15" spans="1:9" customFormat="1" ht="19.5" customHeight="1" x14ac:dyDescent="0.35">
      <c r="A15" s="8">
        <v>6</v>
      </c>
      <c r="B15" s="14"/>
      <c r="C15" s="14"/>
      <c r="D15" s="14"/>
      <c r="E15" s="116"/>
      <c r="F15" s="117"/>
      <c r="G15" s="116"/>
      <c r="H15" s="117"/>
      <c r="I15" s="15"/>
    </row>
    <row r="16" spans="1:9" customFormat="1" ht="19.5" customHeight="1" x14ac:dyDescent="0.35">
      <c r="A16" s="8">
        <v>7</v>
      </c>
      <c r="B16" s="14"/>
      <c r="C16" s="14"/>
      <c r="D16" s="14"/>
      <c r="E16" s="116"/>
      <c r="F16" s="117"/>
      <c r="G16" s="116"/>
      <c r="H16" s="117"/>
      <c r="I16" s="15"/>
    </row>
    <row r="17" spans="1:9" customFormat="1" ht="19.5" customHeight="1" x14ac:dyDescent="0.35">
      <c r="A17" s="8">
        <v>8</v>
      </c>
      <c r="B17" s="14"/>
      <c r="C17" s="14"/>
      <c r="D17" s="14"/>
      <c r="E17" s="116"/>
      <c r="F17" s="117"/>
      <c r="G17" s="116"/>
      <c r="H17" s="117"/>
      <c r="I17" s="15"/>
    </row>
    <row r="18" spans="1:9" customFormat="1" ht="19.5" customHeight="1" x14ac:dyDescent="0.35">
      <c r="A18" s="8">
        <v>9</v>
      </c>
      <c r="B18" s="14"/>
      <c r="C18" s="14"/>
      <c r="D18" s="14"/>
      <c r="E18" s="116"/>
      <c r="F18" s="117"/>
      <c r="G18" s="116"/>
      <c r="H18" s="117"/>
      <c r="I18" s="15"/>
    </row>
    <row r="19" spans="1:9" customFormat="1" ht="19.5" customHeight="1" x14ac:dyDescent="0.35">
      <c r="A19" s="8">
        <v>10</v>
      </c>
      <c r="B19" s="14"/>
      <c r="C19" s="14"/>
      <c r="D19" s="14"/>
      <c r="E19" s="116"/>
      <c r="F19" s="117"/>
      <c r="G19" s="116"/>
      <c r="H19" s="117"/>
      <c r="I19" s="15"/>
    </row>
    <row r="20" spans="1:9" customFormat="1" ht="19.5" customHeight="1" x14ac:dyDescent="0.35">
      <c r="A20" s="8">
        <v>11</v>
      </c>
      <c r="B20" s="14"/>
      <c r="C20" s="14"/>
      <c r="D20" s="14"/>
      <c r="E20" s="116"/>
      <c r="F20" s="117"/>
      <c r="G20" s="116"/>
      <c r="H20" s="117"/>
      <c r="I20" s="15"/>
    </row>
    <row r="21" spans="1:9" customFormat="1" ht="19.5" customHeight="1" x14ac:dyDescent="0.35">
      <c r="A21" s="8">
        <v>12</v>
      </c>
      <c r="B21" s="14"/>
      <c r="C21" s="14"/>
      <c r="D21" s="14"/>
      <c r="E21" s="18"/>
      <c r="F21" s="19"/>
      <c r="G21" s="18"/>
      <c r="H21" s="19"/>
      <c r="I21" s="15"/>
    </row>
    <row r="22" spans="1:9" customFormat="1" ht="19.5" customHeight="1" x14ac:dyDescent="0.35">
      <c r="A22" s="8">
        <v>13</v>
      </c>
      <c r="B22" s="14"/>
      <c r="C22" s="14"/>
      <c r="D22" s="14"/>
      <c r="E22" s="18"/>
      <c r="F22" s="19"/>
      <c r="G22" s="18"/>
      <c r="H22" s="19"/>
      <c r="I22" s="15"/>
    </row>
    <row r="23" spans="1:9" customFormat="1" ht="19.5" customHeight="1" x14ac:dyDescent="0.35">
      <c r="A23" s="8">
        <v>14</v>
      </c>
      <c r="B23" s="14"/>
      <c r="C23" s="14"/>
      <c r="D23" s="14"/>
      <c r="E23" s="18"/>
      <c r="F23" s="19"/>
      <c r="G23" s="18"/>
      <c r="H23" s="19"/>
      <c r="I23" s="15"/>
    </row>
    <row r="24" spans="1:9" customFormat="1" ht="19.5" customHeight="1" x14ac:dyDescent="0.35">
      <c r="A24" s="8">
        <v>15</v>
      </c>
      <c r="B24" s="14"/>
      <c r="C24" s="14"/>
      <c r="D24" s="14"/>
      <c r="E24" s="116"/>
      <c r="F24" s="117"/>
      <c r="G24" s="116"/>
      <c r="H24" s="117"/>
      <c r="I24" s="15"/>
    </row>
    <row r="25" spans="1:9" customFormat="1" ht="19.5" customHeight="1" x14ac:dyDescent="0.35">
      <c r="A25" s="8">
        <v>16</v>
      </c>
      <c r="B25" s="14"/>
      <c r="C25" s="14"/>
      <c r="D25" s="14"/>
      <c r="E25" s="18"/>
      <c r="F25" s="19"/>
      <c r="G25" s="18"/>
      <c r="H25" s="19"/>
      <c r="I25" s="15"/>
    </row>
    <row r="26" spans="1:9" customFormat="1" ht="19.5" customHeight="1" x14ac:dyDescent="0.35">
      <c r="A26" s="8">
        <v>17</v>
      </c>
      <c r="B26" s="14"/>
      <c r="C26" s="14"/>
      <c r="D26" s="14"/>
      <c r="E26" s="18"/>
      <c r="F26" s="19"/>
      <c r="G26" s="18"/>
      <c r="H26" s="19"/>
      <c r="I26" s="15"/>
    </row>
    <row r="27" spans="1:9" customFormat="1" ht="19.5" customHeight="1" x14ac:dyDescent="0.35">
      <c r="A27" s="8">
        <v>18</v>
      </c>
      <c r="B27" s="14"/>
      <c r="C27" s="14"/>
      <c r="D27" s="14"/>
      <c r="E27" s="18"/>
      <c r="F27" s="19"/>
      <c r="G27" s="18"/>
      <c r="H27" s="19"/>
      <c r="I27" s="15"/>
    </row>
    <row r="28" spans="1:9" customFormat="1" ht="19.5" customHeight="1" x14ac:dyDescent="0.35">
      <c r="A28" s="8">
        <v>19</v>
      </c>
      <c r="B28" s="14"/>
      <c r="C28" s="14"/>
      <c r="D28" s="14"/>
      <c r="E28" s="18"/>
      <c r="F28" s="19"/>
      <c r="G28" s="18"/>
      <c r="H28" s="19"/>
      <c r="I28" s="15"/>
    </row>
    <row r="29" spans="1:9" customFormat="1" ht="19.5" customHeight="1" x14ac:dyDescent="0.35">
      <c r="A29" s="8">
        <v>20</v>
      </c>
      <c r="B29" s="14"/>
      <c r="C29" s="14"/>
      <c r="D29" s="14"/>
      <c r="E29" s="116"/>
      <c r="F29" s="117"/>
      <c r="G29" s="116"/>
      <c r="H29" s="117"/>
      <c r="I29" s="15"/>
    </row>
    <row r="30" spans="1:9" customFormat="1" ht="19.5" customHeight="1" x14ac:dyDescent="0.35">
      <c r="A30" s="8">
        <v>21</v>
      </c>
      <c r="B30" s="14"/>
      <c r="C30" s="14"/>
      <c r="D30" s="14"/>
      <c r="E30" s="116"/>
      <c r="F30" s="117"/>
      <c r="G30" s="116"/>
      <c r="H30" s="117"/>
      <c r="I30" s="15"/>
    </row>
    <row r="31" spans="1:9" customFormat="1" ht="19.5" customHeight="1" thickBot="1" x14ac:dyDescent="0.4">
      <c r="A31" s="8">
        <v>22</v>
      </c>
      <c r="B31" s="16"/>
      <c r="C31" s="16"/>
      <c r="D31" s="16"/>
      <c r="E31" s="125"/>
      <c r="F31" s="126"/>
      <c r="G31" s="125"/>
      <c r="H31" s="126"/>
      <c r="I31" s="17"/>
    </row>
    <row r="32" spans="1:9" customFormat="1" ht="20.25" customHeight="1" x14ac:dyDescent="0.35">
      <c r="A32" s="118" t="s">
        <v>23</v>
      </c>
      <c r="B32" s="119"/>
      <c r="C32" s="119"/>
      <c r="D32" s="119"/>
      <c r="E32" s="119"/>
      <c r="F32" s="119"/>
      <c r="G32" s="119"/>
      <c r="H32" s="120"/>
      <c r="I32" s="7"/>
    </row>
    <row r="33" spans="1:9" customFormat="1" ht="20.25" customHeight="1" x14ac:dyDescent="0.35">
      <c r="A33" s="152" t="s">
        <v>24</v>
      </c>
      <c r="B33" s="153"/>
      <c r="C33" s="153"/>
      <c r="D33" s="153"/>
      <c r="E33" s="153"/>
      <c r="F33" s="153"/>
      <c r="G33" s="153"/>
      <c r="H33" s="154"/>
      <c r="I33" s="9"/>
    </row>
    <row r="34" spans="1:9" customFormat="1" ht="20.25" customHeight="1" x14ac:dyDescent="0.35">
      <c r="A34" s="152" t="s">
        <v>25</v>
      </c>
      <c r="B34" s="153"/>
      <c r="C34" s="153"/>
      <c r="D34" s="153"/>
      <c r="E34" s="153"/>
      <c r="F34" s="153"/>
      <c r="G34" s="153"/>
      <c r="H34" s="154"/>
      <c r="I34" s="9"/>
    </row>
    <row r="35" spans="1:9" customFormat="1" ht="20.25" customHeight="1" thickBot="1" x14ac:dyDescent="0.4">
      <c r="A35" s="155" t="s">
        <v>26</v>
      </c>
      <c r="B35" s="156"/>
      <c r="C35" s="156"/>
      <c r="D35" s="156"/>
      <c r="E35" s="156"/>
      <c r="F35" s="156"/>
      <c r="G35" s="156"/>
      <c r="H35" s="157"/>
      <c r="I35" s="11"/>
    </row>
    <row r="36" spans="1:9" customFormat="1" ht="20.25" customHeight="1" x14ac:dyDescent="0.35">
      <c r="A36" s="118" t="s">
        <v>27</v>
      </c>
      <c r="B36" s="119"/>
      <c r="C36" s="119"/>
      <c r="D36" s="119"/>
      <c r="E36" s="119"/>
      <c r="F36" s="119"/>
      <c r="G36" s="119"/>
      <c r="H36" s="120"/>
      <c r="I36" s="20">
        <f>I32+I33+I34+I35</f>
        <v>0</v>
      </c>
    </row>
    <row r="37" spans="1:9" customFormat="1" ht="20.25" customHeight="1" x14ac:dyDescent="0.35">
      <c r="A37" s="121" t="s">
        <v>28</v>
      </c>
      <c r="B37" s="122"/>
      <c r="C37" s="122"/>
      <c r="D37" s="122"/>
      <c r="E37" s="122"/>
      <c r="F37" s="122"/>
      <c r="G37" s="122"/>
      <c r="H37" s="123"/>
      <c r="I37" s="124"/>
    </row>
    <row r="38" spans="1:9" customFormat="1" ht="20.25" customHeight="1" x14ac:dyDescent="0.35">
      <c r="A38" s="121" t="s">
        <v>29</v>
      </c>
      <c r="B38" s="122"/>
      <c r="C38" s="122"/>
      <c r="D38" s="122"/>
      <c r="E38" s="122"/>
      <c r="F38" s="122"/>
      <c r="G38" s="122"/>
      <c r="H38" s="123"/>
      <c r="I38" s="124"/>
    </row>
    <row r="39" spans="1:9" customFormat="1" ht="20.25" customHeight="1" x14ac:dyDescent="0.35">
      <c r="A39" s="121" t="s">
        <v>30</v>
      </c>
      <c r="B39" s="122"/>
      <c r="C39" s="122"/>
      <c r="D39" s="122"/>
      <c r="E39" s="122"/>
      <c r="F39" s="122"/>
      <c r="G39" s="122"/>
      <c r="H39" s="146">
        <f>I36</f>
        <v>0</v>
      </c>
      <c r="I39" s="147"/>
    </row>
    <row r="40" spans="1:9" customFormat="1" ht="20.25" customHeight="1" thickBot="1" x14ac:dyDescent="0.4">
      <c r="A40" s="148" t="s">
        <v>31</v>
      </c>
      <c r="B40" s="149"/>
      <c r="C40" s="149"/>
      <c r="D40" s="149"/>
      <c r="E40" s="149"/>
      <c r="F40" s="149"/>
      <c r="G40" s="149"/>
      <c r="H40" s="150">
        <f>H37-H39</f>
        <v>0</v>
      </c>
      <c r="I40" s="151"/>
    </row>
    <row r="41" spans="1:9" customFormat="1" x14ac:dyDescent="0.35">
      <c r="A41" s="127" t="s">
        <v>32</v>
      </c>
      <c r="B41" s="128"/>
      <c r="C41" s="129"/>
      <c r="D41" s="136" t="s">
        <v>33</v>
      </c>
      <c r="E41" s="136"/>
      <c r="F41" s="136" t="s">
        <v>34</v>
      </c>
      <c r="G41" s="136"/>
      <c r="H41" s="136" t="s">
        <v>35</v>
      </c>
      <c r="I41" s="139"/>
    </row>
    <row r="42" spans="1:9" customFormat="1" ht="27" customHeight="1" x14ac:dyDescent="0.35">
      <c r="A42" s="130"/>
      <c r="B42" s="131"/>
      <c r="C42" s="132"/>
      <c r="D42" s="137"/>
      <c r="E42" s="137"/>
      <c r="F42" s="137"/>
      <c r="G42" s="137"/>
      <c r="H42" s="137"/>
      <c r="I42" s="140"/>
    </row>
    <row r="43" spans="1:9" customFormat="1" ht="33" customHeight="1" thickBot="1" x14ac:dyDescent="0.4">
      <c r="A43" s="133"/>
      <c r="B43" s="134"/>
      <c r="C43" s="135"/>
      <c r="D43" s="138"/>
      <c r="E43" s="138"/>
      <c r="F43" s="138"/>
      <c r="G43" s="138"/>
      <c r="H43" s="138"/>
      <c r="I43" s="141"/>
    </row>
  </sheetData>
  <mergeCells count="68">
    <mergeCell ref="A41:C43"/>
    <mergeCell ref="D41:E43"/>
    <mergeCell ref="F41:G43"/>
    <mergeCell ref="H41:I43"/>
    <mergeCell ref="G8:I8"/>
    <mergeCell ref="A8:B8"/>
    <mergeCell ref="A38:G38"/>
    <mergeCell ref="H38:I38"/>
    <mergeCell ref="A39:G39"/>
    <mergeCell ref="H39:I39"/>
    <mergeCell ref="A40:G40"/>
    <mergeCell ref="H40:I40"/>
    <mergeCell ref="A32:H32"/>
    <mergeCell ref="A33:H33"/>
    <mergeCell ref="A34:H34"/>
    <mergeCell ref="A35:H35"/>
    <mergeCell ref="A36:H36"/>
    <mergeCell ref="A37:G37"/>
    <mergeCell ref="H37:I37"/>
    <mergeCell ref="E29:F29"/>
    <mergeCell ref="G29:H29"/>
    <mergeCell ref="E30:F30"/>
    <mergeCell ref="G30:H30"/>
    <mergeCell ref="E31:F31"/>
    <mergeCell ref="G31:H31"/>
    <mergeCell ref="E19:F19"/>
    <mergeCell ref="G19:H19"/>
    <mergeCell ref="E20:F20"/>
    <mergeCell ref="G20:H20"/>
    <mergeCell ref="E24:F24"/>
    <mergeCell ref="G24:H24"/>
    <mergeCell ref="E16:F16"/>
    <mergeCell ref="G16:H16"/>
    <mergeCell ref="E17:F17"/>
    <mergeCell ref="G17:H17"/>
    <mergeCell ref="E18:F18"/>
    <mergeCell ref="G18:H18"/>
    <mergeCell ref="E13:F13"/>
    <mergeCell ref="G13:H13"/>
    <mergeCell ref="E14:F14"/>
    <mergeCell ref="G14:H14"/>
    <mergeCell ref="E15:F15"/>
    <mergeCell ref="G15:H15"/>
    <mergeCell ref="E10:F10"/>
    <mergeCell ref="G10:H10"/>
    <mergeCell ref="E11:F11"/>
    <mergeCell ref="G11:H11"/>
    <mergeCell ref="E12:F12"/>
    <mergeCell ref="G12:H12"/>
    <mergeCell ref="A7:B7"/>
    <mergeCell ref="C7:E7"/>
    <mergeCell ref="G7:I7"/>
    <mergeCell ref="E9:F9"/>
    <mergeCell ref="G9:H9"/>
    <mergeCell ref="A5:B5"/>
    <mergeCell ref="C5:E5"/>
    <mergeCell ref="G5:I5"/>
    <mergeCell ref="A6:B6"/>
    <mergeCell ref="C6:E6"/>
    <mergeCell ref="G6:I6"/>
    <mergeCell ref="A4:C4"/>
    <mergeCell ref="D4:G4"/>
    <mergeCell ref="H4:I4"/>
    <mergeCell ref="A1:C3"/>
    <mergeCell ref="D1:G3"/>
    <mergeCell ref="H1:I1"/>
    <mergeCell ref="H2:I2"/>
    <mergeCell ref="H3:I3"/>
  </mergeCells>
  <pageMargins left="3.937007874015748E-2" right="3.937007874015748E-2" top="0.15748031496062992" bottom="0.15748031496062992" header="0" footer="0"/>
  <pageSetup scale="70" orientation="landscape" horizontalDpi="360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61"/>
  <sheetViews>
    <sheetView showGridLines="0" tabSelected="1" zoomScale="50" zoomScaleNormal="50" zoomScaleSheetLayoutView="100" workbookViewId="0">
      <selection activeCell="I56" sqref="I56"/>
    </sheetView>
  </sheetViews>
  <sheetFormatPr baseColWidth="10" defaultColWidth="11.453125" defaultRowHeight="14.5" x14ac:dyDescent="0.35"/>
  <cols>
    <col min="1" max="1" width="3.26953125" style="2" customWidth="1"/>
    <col min="2" max="2" width="39.90625" style="2" customWidth="1"/>
    <col min="3" max="3" width="16" style="2" customWidth="1"/>
    <col min="4" max="4" width="27.90625" style="2" customWidth="1"/>
    <col min="5" max="5" width="22.54296875" style="2" customWidth="1"/>
    <col min="6" max="6" width="28.453125" style="2" customWidth="1"/>
    <col min="7" max="7" width="47.54296875" style="2" customWidth="1"/>
    <col min="8" max="8" width="37.90625" style="2" customWidth="1"/>
    <col min="9" max="9" width="22.26953125" style="2" customWidth="1"/>
    <col min="10" max="10" width="6.1796875" style="29" customWidth="1"/>
    <col min="11" max="16384" width="11.453125" style="29"/>
  </cols>
  <sheetData>
    <row r="1" spans="1:9" s="1" customFormat="1" ht="17.25" customHeight="1" x14ac:dyDescent="0.35">
      <c r="A1" s="184"/>
      <c r="B1" s="184"/>
      <c r="C1" s="184"/>
      <c r="D1" s="186" t="s">
        <v>0</v>
      </c>
      <c r="E1" s="187"/>
      <c r="F1" s="187"/>
      <c r="G1" s="187"/>
      <c r="H1" s="188"/>
      <c r="I1" s="62" t="s">
        <v>43</v>
      </c>
    </row>
    <row r="2" spans="1:9" s="1" customFormat="1" ht="17.25" customHeight="1" x14ac:dyDescent="0.35">
      <c r="A2" s="184"/>
      <c r="B2" s="184"/>
      <c r="C2" s="184"/>
      <c r="D2" s="189"/>
      <c r="E2" s="190"/>
      <c r="F2" s="190"/>
      <c r="G2" s="190"/>
      <c r="H2" s="191"/>
      <c r="I2" s="33" t="s">
        <v>44</v>
      </c>
    </row>
    <row r="3" spans="1:9" s="1" customFormat="1" ht="17.25" customHeight="1" x14ac:dyDescent="0.35">
      <c r="A3" s="184"/>
      <c r="B3" s="184"/>
      <c r="C3" s="184"/>
      <c r="D3" s="192"/>
      <c r="E3" s="193"/>
      <c r="F3" s="193"/>
      <c r="G3" s="193"/>
      <c r="H3" s="194"/>
      <c r="I3" s="33" t="s">
        <v>45</v>
      </c>
    </row>
    <row r="4" spans="1:9" s="1" customFormat="1" ht="27" customHeight="1" x14ac:dyDescent="0.35">
      <c r="A4" s="185" t="s">
        <v>4</v>
      </c>
      <c r="B4" s="185"/>
      <c r="C4" s="185"/>
      <c r="D4" s="195" t="s">
        <v>5</v>
      </c>
      <c r="E4" s="196"/>
      <c r="F4" s="196"/>
      <c r="G4" s="196"/>
      <c r="H4" s="197"/>
      <c r="I4" s="63" t="s">
        <v>6</v>
      </c>
    </row>
    <row r="5" spans="1:9" s="1" customFormat="1" ht="6" customHeight="1" thickBot="1" x14ac:dyDescent="0.4">
      <c r="A5" s="45"/>
      <c r="B5" s="45"/>
      <c r="C5" s="45"/>
      <c r="D5" s="45"/>
      <c r="E5" s="45"/>
      <c r="F5" s="45"/>
      <c r="G5" s="45"/>
      <c r="H5" s="45"/>
      <c r="I5" s="45"/>
    </row>
    <row r="6" spans="1:9" s="30" customFormat="1" ht="18.75" customHeight="1" x14ac:dyDescent="0.35">
      <c r="A6" s="179" t="s">
        <v>7</v>
      </c>
      <c r="B6" s="180"/>
      <c r="C6" s="181"/>
      <c r="D6" s="57" t="s">
        <v>94</v>
      </c>
      <c r="E6" s="108"/>
      <c r="F6" s="108"/>
      <c r="G6" s="32" t="s">
        <v>8</v>
      </c>
      <c r="H6" s="182"/>
      <c r="I6" s="183"/>
    </row>
    <row r="7" spans="1:9" s="30" customFormat="1" ht="18.75" customHeight="1" x14ac:dyDescent="0.35">
      <c r="A7" s="204" t="s">
        <v>9</v>
      </c>
      <c r="B7" s="205"/>
      <c r="C7" s="206"/>
      <c r="D7" s="56" t="s">
        <v>95</v>
      </c>
      <c r="E7" s="111"/>
      <c r="F7" s="111"/>
      <c r="G7" s="33" t="s">
        <v>10</v>
      </c>
      <c r="H7" s="202"/>
      <c r="I7" s="203"/>
    </row>
    <row r="8" spans="1:9" s="30" customFormat="1" ht="18.75" customHeight="1" thickBot="1" x14ac:dyDescent="0.4">
      <c r="A8" s="207" t="s">
        <v>11</v>
      </c>
      <c r="B8" s="208"/>
      <c r="C8" s="209"/>
      <c r="D8" s="87">
        <v>46266</v>
      </c>
      <c r="E8" s="142"/>
      <c r="F8" s="142"/>
      <c r="G8" s="34" t="s">
        <v>12</v>
      </c>
      <c r="H8" s="200"/>
      <c r="I8" s="201"/>
    </row>
    <row r="9" spans="1:9" s="30" customFormat="1" ht="25" customHeight="1" thickBot="1" x14ac:dyDescent="0.4">
      <c r="A9" s="52" t="s">
        <v>36</v>
      </c>
      <c r="B9" s="46"/>
      <c r="C9" s="46"/>
      <c r="D9" s="46"/>
      <c r="E9" s="210" t="s">
        <v>37</v>
      </c>
      <c r="F9" s="210"/>
      <c r="G9" s="53" t="s">
        <v>38</v>
      </c>
      <c r="H9" s="46" t="s">
        <v>40</v>
      </c>
      <c r="I9" s="47" t="s">
        <v>39</v>
      </c>
    </row>
    <row r="10" spans="1:9" s="4" customFormat="1" ht="21.75" customHeight="1" thickBot="1" x14ac:dyDescent="0.4">
      <c r="A10" s="39" t="s">
        <v>16</v>
      </c>
      <c r="B10" s="40" t="s">
        <v>41</v>
      </c>
      <c r="C10" s="40" t="s">
        <v>17</v>
      </c>
      <c r="D10" s="40" t="s">
        <v>42</v>
      </c>
      <c r="E10" s="40" t="s">
        <v>18</v>
      </c>
      <c r="F10" s="40" t="s">
        <v>19</v>
      </c>
      <c r="G10" s="43" t="s">
        <v>20</v>
      </c>
      <c r="H10" s="40" t="s">
        <v>21</v>
      </c>
      <c r="I10" s="41" t="s">
        <v>22</v>
      </c>
    </row>
    <row r="11" spans="1:9" s="37" customFormat="1" ht="42.5" customHeight="1" thickBot="1" x14ac:dyDescent="0.4">
      <c r="A11" s="36">
        <v>1</v>
      </c>
      <c r="B11" s="99" t="s">
        <v>102</v>
      </c>
      <c r="C11" s="86">
        <v>46254</v>
      </c>
      <c r="D11" s="70" t="s">
        <v>47</v>
      </c>
      <c r="E11" s="72" t="s">
        <v>48</v>
      </c>
      <c r="F11" s="72" t="s">
        <v>49</v>
      </c>
      <c r="G11" s="71" t="s">
        <v>50</v>
      </c>
      <c r="H11" s="69" t="s">
        <v>46</v>
      </c>
      <c r="I11" s="73">
        <v>56000</v>
      </c>
    </row>
    <row r="12" spans="1:9" s="37" customFormat="1" ht="25.5" thickBot="1" x14ac:dyDescent="0.4">
      <c r="A12" s="36">
        <v>2</v>
      </c>
      <c r="B12" s="77" t="s">
        <v>55</v>
      </c>
      <c r="C12" s="86">
        <v>46255</v>
      </c>
      <c r="D12" s="75" t="s">
        <v>51</v>
      </c>
      <c r="E12" s="77" t="s">
        <v>52</v>
      </c>
      <c r="F12" s="77" t="s">
        <v>53</v>
      </c>
      <c r="G12" s="76" t="s">
        <v>54</v>
      </c>
      <c r="H12" s="74" t="s">
        <v>46</v>
      </c>
      <c r="I12" s="78">
        <v>45000</v>
      </c>
    </row>
    <row r="13" spans="1:9" s="37" customFormat="1" ht="30" customHeight="1" thickBot="1" x14ac:dyDescent="0.4">
      <c r="A13" s="96">
        <v>3</v>
      </c>
      <c r="B13" s="82" t="s">
        <v>59</v>
      </c>
      <c r="C13" s="92">
        <v>46255</v>
      </c>
      <c r="D13" s="80" t="s">
        <v>60</v>
      </c>
      <c r="E13" s="82" t="s">
        <v>56</v>
      </c>
      <c r="F13" s="82" t="s">
        <v>57</v>
      </c>
      <c r="G13" s="81" t="s">
        <v>58</v>
      </c>
      <c r="H13" s="79" t="s">
        <v>46</v>
      </c>
      <c r="I13" s="73">
        <v>74000</v>
      </c>
    </row>
    <row r="14" spans="1:9" s="37" customFormat="1" ht="30" customHeight="1" thickBot="1" x14ac:dyDescent="0.4">
      <c r="A14" s="36">
        <v>4</v>
      </c>
      <c r="B14" s="77" t="s">
        <v>59</v>
      </c>
      <c r="C14" s="97">
        <v>46256</v>
      </c>
      <c r="D14" s="75" t="s">
        <v>60</v>
      </c>
      <c r="E14" s="77">
        <v>2060</v>
      </c>
      <c r="F14" s="94" t="s">
        <v>99</v>
      </c>
      <c r="G14" s="95" t="s">
        <v>100</v>
      </c>
      <c r="H14" s="94" t="s">
        <v>46</v>
      </c>
      <c r="I14" s="78">
        <v>123800</v>
      </c>
    </row>
    <row r="15" spans="1:9" s="37" customFormat="1" ht="21.75" customHeight="1" thickBot="1" x14ac:dyDescent="0.4">
      <c r="A15" s="36">
        <v>5</v>
      </c>
      <c r="B15" s="77" t="s">
        <v>59</v>
      </c>
      <c r="C15" s="97">
        <v>46257</v>
      </c>
      <c r="D15" s="75" t="s">
        <v>60</v>
      </c>
      <c r="E15" s="77">
        <v>2062</v>
      </c>
      <c r="F15" s="94" t="s">
        <v>99</v>
      </c>
      <c r="G15" s="95" t="s">
        <v>100</v>
      </c>
      <c r="H15" s="94" t="s">
        <v>46</v>
      </c>
      <c r="I15" s="73">
        <v>119500</v>
      </c>
    </row>
    <row r="16" spans="1:9" s="37" customFormat="1" ht="21.75" customHeight="1" thickBot="1" x14ac:dyDescent="0.4">
      <c r="A16" s="36">
        <v>6</v>
      </c>
      <c r="B16" s="88" t="s">
        <v>64</v>
      </c>
      <c r="C16" s="93">
        <v>46258</v>
      </c>
      <c r="D16" s="89" t="s">
        <v>60</v>
      </c>
      <c r="E16" s="88" t="s">
        <v>61</v>
      </c>
      <c r="F16" s="88" t="s">
        <v>62</v>
      </c>
      <c r="G16" s="90" t="s">
        <v>63</v>
      </c>
      <c r="H16" s="91" t="s">
        <v>46</v>
      </c>
      <c r="I16" s="78">
        <v>22000</v>
      </c>
    </row>
    <row r="17" spans="1:9" s="37" customFormat="1" ht="21.75" customHeight="1" thickBot="1" x14ac:dyDescent="0.4">
      <c r="A17" s="96">
        <v>7</v>
      </c>
      <c r="B17" s="77" t="s">
        <v>64</v>
      </c>
      <c r="C17" s="86">
        <v>46258</v>
      </c>
      <c r="D17" s="75" t="s">
        <v>60</v>
      </c>
      <c r="E17" s="77" t="s">
        <v>65</v>
      </c>
      <c r="F17" s="77" t="s">
        <v>66</v>
      </c>
      <c r="G17" s="76" t="s">
        <v>67</v>
      </c>
      <c r="H17" s="74" t="s">
        <v>46</v>
      </c>
      <c r="I17" s="73">
        <v>35000</v>
      </c>
    </row>
    <row r="18" spans="1:9" s="37" customFormat="1" ht="41" customHeight="1" thickBot="1" x14ac:dyDescent="0.4">
      <c r="A18" s="36">
        <v>8</v>
      </c>
      <c r="B18" s="98" t="s">
        <v>117</v>
      </c>
      <c r="C18" s="86">
        <v>46258</v>
      </c>
      <c r="D18" s="75" t="s">
        <v>60</v>
      </c>
      <c r="E18" s="77" t="s">
        <v>68</v>
      </c>
      <c r="F18" s="77" t="s">
        <v>69</v>
      </c>
      <c r="G18" s="76" t="s">
        <v>70</v>
      </c>
      <c r="H18" s="74" t="s">
        <v>97</v>
      </c>
      <c r="I18" s="78">
        <v>627000</v>
      </c>
    </row>
    <row r="19" spans="1:9" s="37" customFormat="1" ht="21.75" customHeight="1" thickBot="1" x14ac:dyDescent="0.4">
      <c r="A19" s="36">
        <v>9</v>
      </c>
      <c r="B19" s="98" t="s">
        <v>103</v>
      </c>
      <c r="C19" s="86">
        <v>46258</v>
      </c>
      <c r="D19" s="75" t="s">
        <v>71</v>
      </c>
      <c r="E19" s="77" t="s">
        <v>72</v>
      </c>
      <c r="F19" s="77" t="s">
        <v>73</v>
      </c>
      <c r="G19" s="76" t="s">
        <v>74</v>
      </c>
      <c r="H19" s="74" t="s">
        <v>97</v>
      </c>
      <c r="I19" s="73">
        <v>719152</v>
      </c>
    </row>
    <row r="20" spans="1:9" s="37" customFormat="1" ht="21.75" customHeight="1" thickBot="1" x14ac:dyDescent="0.4">
      <c r="A20" s="36">
        <v>10</v>
      </c>
      <c r="B20" s="77" t="s">
        <v>64</v>
      </c>
      <c r="C20" s="86">
        <v>46259</v>
      </c>
      <c r="D20" s="75" t="s">
        <v>60</v>
      </c>
      <c r="E20" s="77" t="s">
        <v>75</v>
      </c>
      <c r="F20" s="77" t="s">
        <v>62</v>
      </c>
      <c r="G20" s="76" t="s">
        <v>63</v>
      </c>
      <c r="H20" s="74" t="s">
        <v>46</v>
      </c>
      <c r="I20" s="78">
        <v>36000</v>
      </c>
    </row>
    <row r="21" spans="1:9" s="37" customFormat="1" ht="25.5" thickBot="1" x14ac:dyDescent="0.4">
      <c r="A21" s="96">
        <v>11</v>
      </c>
      <c r="B21" s="77" t="s">
        <v>77</v>
      </c>
      <c r="C21" s="86">
        <v>46259</v>
      </c>
      <c r="D21" s="75" t="s">
        <v>60</v>
      </c>
      <c r="E21" s="77" t="s">
        <v>76</v>
      </c>
      <c r="F21" s="77" t="s">
        <v>66</v>
      </c>
      <c r="G21" s="76" t="s">
        <v>67</v>
      </c>
      <c r="H21" s="74" t="s">
        <v>46</v>
      </c>
      <c r="I21" s="73">
        <v>88000</v>
      </c>
    </row>
    <row r="22" spans="1:9" s="37" customFormat="1" ht="25.5" customHeight="1" thickBot="1" x14ac:dyDescent="0.4">
      <c r="A22" s="36">
        <v>12</v>
      </c>
      <c r="B22" s="77" t="s">
        <v>59</v>
      </c>
      <c r="C22" s="86">
        <v>46260</v>
      </c>
      <c r="D22" s="75" t="s">
        <v>60</v>
      </c>
      <c r="E22" s="77">
        <v>3341</v>
      </c>
      <c r="F22" s="77" t="s">
        <v>105</v>
      </c>
      <c r="G22" s="76" t="s">
        <v>104</v>
      </c>
      <c r="H22" s="74" t="s">
        <v>46</v>
      </c>
      <c r="I22" s="78">
        <v>87500</v>
      </c>
    </row>
    <row r="23" spans="1:9" s="37" customFormat="1" ht="25.5" customHeight="1" thickBot="1" x14ac:dyDescent="0.4">
      <c r="A23" s="36">
        <v>13</v>
      </c>
      <c r="B23" s="77" t="s">
        <v>106</v>
      </c>
      <c r="C23" s="86">
        <v>46261</v>
      </c>
      <c r="D23" s="75" t="s">
        <v>60</v>
      </c>
      <c r="E23" s="77" t="s">
        <v>107</v>
      </c>
      <c r="F23" s="77">
        <v>1115691430</v>
      </c>
      <c r="G23" s="76" t="s">
        <v>108</v>
      </c>
      <c r="H23" s="74" t="s">
        <v>98</v>
      </c>
      <c r="I23" s="73">
        <v>16000</v>
      </c>
    </row>
    <row r="24" spans="1:9" s="37" customFormat="1" ht="35" customHeight="1" thickBot="1" x14ac:dyDescent="0.4">
      <c r="A24" s="36">
        <v>14</v>
      </c>
      <c r="B24" s="77" t="s">
        <v>59</v>
      </c>
      <c r="C24" s="86">
        <v>46261</v>
      </c>
      <c r="D24" s="75" t="s">
        <v>60</v>
      </c>
      <c r="E24" s="77" t="s">
        <v>78</v>
      </c>
      <c r="F24" s="77" t="s">
        <v>79</v>
      </c>
      <c r="G24" s="76" t="s">
        <v>80</v>
      </c>
      <c r="H24" s="74" t="s">
        <v>46</v>
      </c>
      <c r="I24" s="78">
        <v>83000</v>
      </c>
    </row>
    <row r="25" spans="1:9" s="37" customFormat="1" ht="35" customHeight="1" thickBot="1" x14ac:dyDescent="0.4">
      <c r="A25" s="96"/>
      <c r="B25" s="77" t="s">
        <v>59</v>
      </c>
      <c r="C25" s="86">
        <v>46262</v>
      </c>
      <c r="D25" s="75" t="s">
        <v>60</v>
      </c>
      <c r="E25" s="77">
        <v>555</v>
      </c>
      <c r="F25" s="77" t="s">
        <v>109</v>
      </c>
      <c r="G25" s="76" t="s">
        <v>110</v>
      </c>
      <c r="H25" s="74" t="s">
        <v>98</v>
      </c>
      <c r="I25" s="73">
        <v>123000</v>
      </c>
    </row>
    <row r="26" spans="1:9" s="37" customFormat="1" ht="39.5" customHeight="1" thickBot="1" x14ac:dyDescent="0.4">
      <c r="A26" s="96">
        <v>15</v>
      </c>
      <c r="B26" s="98" t="s">
        <v>101</v>
      </c>
      <c r="C26" s="86">
        <v>46263</v>
      </c>
      <c r="D26" s="75" t="s">
        <v>60</v>
      </c>
      <c r="E26" s="77" t="s">
        <v>81</v>
      </c>
      <c r="F26" s="77" t="s">
        <v>62</v>
      </c>
      <c r="G26" s="76" t="s">
        <v>63</v>
      </c>
      <c r="H26" s="74" t="s">
        <v>46</v>
      </c>
      <c r="I26" s="78">
        <v>36000</v>
      </c>
    </row>
    <row r="27" spans="1:9" s="37" customFormat="1" ht="53" customHeight="1" thickBot="1" x14ac:dyDescent="0.4">
      <c r="A27" s="36">
        <v>16</v>
      </c>
      <c r="B27" s="98" t="s">
        <v>96</v>
      </c>
      <c r="C27" s="86">
        <v>46263</v>
      </c>
      <c r="D27" s="75" t="s">
        <v>82</v>
      </c>
      <c r="E27" s="77" t="s">
        <v>83</v>
      </c>
      <c r="F27" s="77" t="s">
        <v>84</v>
      </c>
      <c r="G27" s="76" t="s">
        <v>85</v>
      </c>
      <c r="H27" s="74" t="s">
        <v>46</v>
      </c>
      <c r="I27" s="73">
        <v>199000</v>
      </c>
    </row>
    <row r="28" spans="1:9" s="37" customFormat="1" ht="49.5" customHeight="1" thickBot="1" x14ac:dyDescent="0.4">
      <c r="A28" s="36">
        <v>17</v>
      </c>
      <c r="B28" s="77" t="s">
        <v>116</v>
      </c>
      <c r="C28" s="86">
        <v>46264</v>
      </c>
      <c r="D28" s="70" t="s">
        <v>47</v>
      </c>
      <c r="E28" s="77" t="s">
        <v>86</v>
      </c>
      <c r="F28" s="77" t="s">
        <v>87</v>
      </c>
      <c r="G28" s="76" t="s">
        <v>88</v>
      </c>
      <c r="H28" s="74" t="s">
        <v>46</v>
      </c>
      <c r="I28" s="78">
        <v>53600</v>
      </c>
    </row>
    <row r="29" spans="1:9" s="37" customFormat="1" ht="21.75" customHeight="1" thickBot="1" x14ac:dyDescent="0.4">
      <c r="A29" s="36">
        <v>18</v>
      </c>
      <c r="B29" s="77" t="s">
        <v>93</v>
      </c>
      <c r="C29" s="86">
        <v>46265</v>
      </c>
      <c r="D29" s="75" t="s">
        <v>60</v>
      </c>
      <c r="E29" s="77" t="s">
        <v>90</v>
      </c>
      <c r="F29" s="77" t="s">
        <v>91</v>
      </c>
      <c r="G29" s="76" t="s">
        <v>92</v>
      </c>
      <c r="H29" s="74" t="s">
        <v>89</v>
      </c>
      <c r="I29" s="73">
        <v>100000</v>
      </c>
    </row>
    <row r="30" spans="1:9" s="37" customFormat="1" ht="21.75" customHeight="1" thickBot="1" x14ac:dyDescent="0.4">
      <c r="A30" s="96">
        <v>19</v>
      </c>
      <c r="B30" s="77" t="s">
        <v>59</v>
      </c>
      <c r="C30" s="86">
        <v>46265</v>
      </c>
      <c r="D30" s="75" t="s">
        <v>60</v>
      </c>
      <c r="E30" s="77">
        <v>554</v>
      </c>
      <c r="F30" s="77" t="s">
        <v>109</v>
      </c>
      <c r="G30" s="76" t="s">
        <v>110</v>
      </c>
      <c r="H30" s="74" t="s">
        <v>46</v>
      </c>
      <c r="I30" s="78">
        <v>122000</v>
      </c>
    </row>
    <row r="31" spans="1:9" s="37" customFormat="1" ht="44" customHeight="1" thickBot="1" x14ac:dyDescent="0.4">
      <c r="A31" s="36">
        <v>20</v>
      </c>
      <c r="B31" s="77" t="s">
        <v>112</v>
      </c>
      <c r="C31" s="84">
        <v>46235</v>
      </c>
      <c r="D31" s="70" t="s">
        <v>47</v>
      </c>
      <c r="E31" s="100">
        <v>8553</v>
      </c>
      <c r="F31" s="77" t="s">
        <v>113</v>
      </c>
      <c r="G31" s="76" t="s">
        <v>115</v>
      </c>
      <c r="H31" s="77" t="s">
        <v>114</v>
      </c>
      <c r="I31" s="73">
        <v>779952</v>
      </c>
    </row>
    <row r="32" spans="1:9" s="37" customFormat="1" ht="21.75" customHeight="1" thickBot="1" x14ac:dyDescent="0.4">
      <c r="A32" s="36">
        <v>21</v>
      </c>
      <c r="B32" s="74" t="s">
        <v>111</v>
      </c>
      <c r="C32" s="84">
        <v>46235</v>
      </c>
      <c r="D32" s="70" t="s">
        <v>47</v>
      </c>
      <c r="E32" s="77">
        <v>8552</v>
      </c>
      <c r="F32" s="77" t="s">
        <v>113</v>
      </c>
      <c r="G32" s="76" t="s">
        <v>115</v>
      </c>
      <c r="H32" s="74" t="s">
        <v>89</v>
      </c>
      <c r="I32" s="78">
        <v>75706</v>
      </c>
    </row>
    <row r="33" spans="1:9" s="37" customFormat="1" ht="21.75" customHeight="1" thickBot="1" x14ac:dyDescent="0.4">
      <c r="A33" s="36">
        <v>22</v>
      </c>
      <c r="B33" s="74"/>
      <c r="C33" s="84"/>
      <c r="D33" s="75"/>
      <c r="E33" s="75"/>
      <c r="F33" s="75"/>
      <c r="G33" s="76"/>
      <c r="H33" s="77"/>
      <c r="I33" s="78"/>
    </row>
    <row r="34" spans="1:9" s="37" customFormat="1" ht="21.75" customHeight="1" thickBot="1" x14ac:dyDescent="0.4">
      <c r="A34" s="96">
        <v>23</v>
      </c>
      <c r="B34" s="74"/>
      <c r="C34" s="84"/>
      <c r="D34" s="75"/>
      <c r="E34" s="75"/>
      <c r="F34" s="75"/>
      <c r="G34" s="76"/>
      <c r="H34" s="77"/>
      <c r="I34" s="78"/>
    </row>
    <row r="35" spans="1:9" s="37" customFormat="1" ht="21.75" customHeight="1" thickBot="1" x14ac:dyDescent="0.4">
      <c r="A35" s="36">
        <v>24</v>
      </c>
      <c r="B35" s="74"/>
      <c r="C35" s="84"/>
      <c r="D35" s="75"/>
      <c r="E35" s="75"/>
      <c r="F35" s="75"/>
      <c r="G35" s="76"/>
      <c r="H35" s="77"/>
      <c r="I35" s="78"/>
    </row>
    <row r="36" spans="1:9" s="37" customFormat="1" ht="21.75" customHeight="1" thickBot="1" x14ac:dyDescent="0.4">
      <c r="A36" s="36">
        <v>25</v>
      </c>
      <c r="B36" s="74"/>
      <c r="C36" s="84"/>
      <c r="D36" s="75"/>
      <c r="E36" s="75"/>
      <c r="F36" s="75"/>
      <c r="G36" s="76"/>
      <c r="H36" s="77"/>
      <c r="I36" s="78"/>
    </row>
    <row r="37" spans="1:9" s="37" customFormat="1" ht="21.75" customHeight="1" thickBot="1" x14ac:dyDescent="0.4">
      <c r="A37" s="36">
        <v>26</v>
      </c>
      <c r="B37" s="79"/>
      <c r="C37" s="84"/>
      <c r="D37" s="80"/>
      <c r="E37" s="80"/>
      <c r="F37" s="80"/>
      <c r="G37" s="81"/>
      <c r="H37" s="82"/>
      <c r="I37" s="83"/>
    </row>
    <row r="38" spans="1:9" s="37" customFormat="1" ht="21.75" customHeight="1" thickBot="1" x14ac:dyDescent="0.4">
      <c r="A38" s="96">
        <v>27</v>
      </c>
      <c r="B38" s="79"/>
      <c r="C38" s="84"/>
      <c r="D38" s="80"/>
      <c r="E38" s="80"/>
      <c r="F38" s="80"/>
      <c r="G38" s="81"/>
      <c r="H38" s="82"/>
      <c r="I38" s="83"/>
    </row>
    <row r="39" spans="1:9" s="37" customFormat="1" ht="21.75" customHeight="1" thickBot="1" x14ac:dyDescent="0.4">
      <c r="A39" s="36">
        <v>28</v>
      </c>
      <c r="B39" s="79"/>
      <c r="C39" s="84"/>
      <c r="D39" s="80"/>
      <c r="E39" s="80"/>
      <c r="F39" s="80"/>
      <c r="G39" s="81"/>
      <c r="H39" s="82"/>
      <c r="I39" s="83"/>
    </row>
    <row r="40" spans="1:9" s="37" customFormat="1" ht="21.75" customHeight="1" thickBot="1" x14ac:dyDescent="0.4">
      <c r="A40" s="36">
        <v>29</v>
      </c>
      <c r="B40" s="79"/>
      <c r="C40" s="84"/>
      <c r="D40" s="80"/>
      <c r="E40" s="80"/>
      <c r="F40" s="80"/>
      <c r="G40" s="81"/>
      <c r="H40" s="82"/>
      <c r="I40" s="83"/>
    </row>
    <row r="41" spans="1:9" s="37" customFormat="1" ht="21.75" customHeight="1" thickBot="1" x14ac:dyDescent="0.4">
      <c r="A41" s="36">
        <v>30</v>
      </c>
      <c r="B41" s="79"/>
      <c r="C41" s="84"/>
      <c r="D41" s="80"/>
      <c r="E41" s="80"/>
      <c r="F41" s="80"/>
      <c r="G41" s="81"/>
      <c r="H41" s="82"/>
      <c r="I41" s="83"/>
    </row>
    <row r="42" spans="1:9" s="37" customFormat="1" ht="21.75" customHeight="1" thickBot="1" x14ac:dyDescent="0.4">
      <c r="A42" s="96">
        <v>31</v>
      </c>
      <c r="B42" s="79"/>
      <c r="C42" s="84"/>
      <c r="D42" s="80"/>
      <c r="E42" s="80"/>
      <c r="F42" s="80"/>
      <c r="G42" s="81"/>
      <c r="H42" s="82"/>
      <c r="I42" s="83"/>
    </row>
    <row r="43" spans="1:9" s="37" customFormat="1" ht="21.75" customHeight="1" thickBot="1" x14ac:dyDescent="0.4">
      <c r="A43" s="36">
        <v>32</v>
      </c>
      <c r="B43" s="79"/>
      <c r="C43" s="84"/>
      <c r="D43" s="80"/>
      <c r="E43" s="80"/>
      <c r="F43" s="80"/>
      <c r="G43" s="81"/>
      <c r="H43" s="82"/>
      <c r="I43" s="83"/>
    </row>
    <row r="44" spans="1:9" s="37" customFormat="1" ht="21.75" customHeight="1" thickBot="1" x14ac:dyDescent="0.4">
      <c r="A44" s="36">
        <v>33</v>
      </c>
      <c r="B44" s="79"/>
      <c r="C44" s="84"/>
      <c r="D44" s="80"/>
      <c r="E44" s="80"/>
      <c r="F44" s="80"/>
      <c r="G44" s="81"/>
      <c r="H44" s="82"/>
      <c r="I44" s="83"/>
    </row>
    <row r="45" spans="1:9" s="37" customFormat="1" ht="21.75" customHeight="1" thickBot="1" x14ac:dyDescent="0.4">
      <c r="A45" s="36">
        <v>34</v>
      </c>
      <c r="B45" s="79"/>
      <c r="C45" s="84"/>
      <c r="D45" s="80"/>
      <c r="E45" s="80"/>
      <c r="F45" s="80"/>
      <c r="G45" s="81"/>
      <c r="H45" s="82"/>
      <c r="I45" s="83"/>
    </row>
    <row r="46" spans="1:9" s="37" customFormat="1" ht="21.75" customHeight="1" thickBot="1" x14ac:dyDescent="0.4">
      <c r="A46" s="96">
        <v>35</v>
      </c>
      <c r="B46" s="79"/>
      <c r="C46" s="80"/>
      <c r="D46" s="80"/>
      <c r="E46" s="80"/>
      <c r="F46" s="80"/>
      <c r="G46" s="81"/>
      <c r="H46" s="82"/>
      <c r="I46" s="83"/>
    </row>
    <row r="47" spans="1:9" s="37" customFormat="1" ht="21.75" customHeight="1" thickBot="1" x14ac:dyDescent="0.4">
      <c r="A47" s="36">
        <v>36</v>
      </c>
      <c r="B47" s="64"/>
      <c r="C47" s="65"/>
      <c r="D47" s="65"/>
      <c r="E47" s="65"/>
      <c r="F47" s="65"/>
      <c r="G47" s="66"/>
      <c r="H47" s="67"/>
      <c r="I47" s="68"/>
    </row>
    <row r="48" spans="1:9" s="37" customFormat="1" ht="21.75" customHeight="1" thickBot="1" x14ac:dyDescent="0.4">
      <c r="A48" s="36">
        <v>37</v>
      </c>
      <c r="B48" s="54"/>
      <c r="C48" s="38"/>
      <c r="D48" s="38"/>
      <c r="E48" s="38"/>
      <c r="F48" s="38"/>
      <c r="G48" s="44"/>
      <c r="H48" s="42"/>
      <c r="I48" s="48"/>
    </row>
    <row r="49" spans="1:9" s="31" customFormat="1" ht="19.5" customHeight="1" x14ac:dyDescent="0.35">
      <c r="A49" s="28"/>
      <c r="B49" s="55"/>
      <c r="C49" s="26"/>
      <c r="D49" s="26"/>
      <c r="E49" s="26"/>
      <c r="F49" s="26"/>
      <c r="G49" s="27"/>
      <c r="H49" s="27"/>
      <c r="I49" s="85">
        <f>SUM(I11:I48)</f>
        <v>3621210</v>
      </c>
    </row>
    <row r="50" spans="1:9" s="31" customFormat="1" ht="20.25" customHeight="1" x14ac:dyDescent="0.35">
      <c r="A50" s="160" t="s">
        <v>23</v>
      </c>
      <c r="B50" s="161"/>
      <c r="C50" s="162"/>
      <c r="D50" s="162"/>
      <c r="E50" s="162"/>
      <c r="F50" s="162"/>
      <c r="G50" s="162"/>
      <c r="H50" s="162"/>
      <c r="I50" s="50"/>
    </row>
    <row r="51" spans="1:9" s="31" customFormat="1" ht="20.25" customHeight="1" x14ac:dyDescent="0.35">
      <c r="A51" s="160" t="s">
        <v>24</v>
      </c>
      <c r="B51" s="161"/>
      <c r="C51" s="162"/>
      <c r="D51" s="162"/>
      <c r="E51" s="162"/>
      <c r="F51" s="162"/>
      <c r="G51" s="162"/>
      <c r="H51" s="162"/>
      <c r="I51" s="50">
        <f>SUM(I31,I18,I19)</f>
        <v>2126104</v>
      </c>
    </row>
    <row r="52" spans="1:9" s="31" customFormat="1" ht="20.25" customHeight="1" x14ac:dyDescent="0.35">
      <c r="A52" s="160" t="s">
        <v>25</v>
      </c>
      <c r="B52" s="161"/>
      <c r="C52" s="162"/>
      <c r="D52" s="162"/>
      <c r="E52" s="162"/>
      <c r="F52" s="162"/>
      <c r="G52" s="162"/>
      <c r="H52" s="162"/>
      <c r="I52" s="50">
        <f>I11+I12+I13+I14+I15+I16+I17+I20+I21+I22+I23+I24+I25+I27+I26+I28+I30</f>
        <v>1319400</v>
      </c>
    </row>
    <row r="53" spans="1:9" s="31" customFormat="1" ht="20.25" customHeight="1" thickBot="1" x14ac:dyDescent="0.4">
      <c r="A53" s="163" t="s">
        <v>26</v>
      </c>
      <c r="B53" s="164"/>
      <c r="C53" s="165"/>
      <c r="D53" s="165"/>
      <c r="E53" s="165"/>
      <c r="F53" s="165"/>
      <c r="G53" s="165"/>
      <c r="H53" s="165"/>
      <c r="I53" s="51">
        <f>SUM(I32,I29)</f>
        <v>175706</v>
      </c>
    </row>
    <row r="54" spans="1:9" s="31" customFormat="1" ht="20.25" customHeight="1" x14ac:dyDescent="0.35">
      <c r="A54" s="198" t="s">
        <v>27</v>
      </c>
      <c r="B54" s="199"/>
      <c r="C54" s="199"/>
      <c r="D54" s="199"/>
      <c r="E54" s="199"/>
      <c r="F54" s="199"/>
      <c r="G54" s="199"/>
      <c r="H54" s="199"/>
      <c r="I54" s="49">
        <f>I50+I51+I52+I53</f>
        <v>3621210</v>
      </c>
    </row>
    <row r="55" spans="1:9" s="31" customFormat="1" ht="20.25" customHeight="1" x14ac:dyDescent="0.35">
      <c r="A55" s="160" t="s">
        <v>28</v>
      </c>
      <c r="B55" s="161"/>
      <c r="C55" s="162"/>
      <c r="D55" s="162"/>
      <c r="E55" s="162"/>
      <c r="F55" s="162"/>
      <c r="G55" s="162"/>
      <c r="H55" s="162"/>
      <c r="I55" s="50">
        <v>3636000</v>
      </c>
    </row>
    <row r="56" spans="1:9" s="31" customFormat="1" ht="20.25" customHeight="1" x14ac:dyDescent="0.35">
      <c r="A56" s="160" t="s">
        <v>29</v>
      </c>
      <c r="B56" s="161"/>
      <c r="C56" s="162"/>
      <c r="D56" s="162"/>
      <c r="E56" s="162"/>
      <c r="F56" s="162"/>
      <c r="G56" s="162"/>
      <c r="H56" s="162"/>
      <c r="I56" s="58"/>
    </row>
    <row r="57" spans="1:9" s="31" customFormat="1" ht="20.25" customHeight="1" x14ac:dyDescent="0.35">
      <c r="A57" s="160" t="s">
        <v>30</v>
      </c>
      <c r="B57" s="161"/>
      <c r="C57" s="162"/>
      <c r="D57" s="162"/>
      <c r="E57" s="162"/>
      <c r="F57" s="162"/>
      <c r="G57" s="162"/>
      <c r="H57" s="162"/>
      <c r="I57" s="59">
        <f>I54</f>
        <v>3621210</v>
      </c>
    </row>
    <row r="58" spans="1:9" s="31" customFormat="1" ht="20.25" customHeight="1" thickBot="1" x14ac:dyDescent="0.4">
      <c r="A58" s="163" t="s">
        <v>31</v>
      </c>
      <c r="B58" s="164"/>
      <c r="C58" s="165"/>
      <c r="D58" s="165"/>
      <c r="E58" s="165"/>
      <c r="F58" s="165"/>
      <c r="G58" s="166"/>
      <c r="H58" s="166"/>
      <c r="I58" s="60">
        <f>I55-I54</f>
        <v>14790</v>
      </c>
    </row>
    <row r="59" spans="1:9" s="31" customFormat="1" x14ac:dyDescent="0.35">
      <c r="A59" s="175" t="s">
        <v>32</v>
      </c>
      <c r="B59" s="177"/>
      <c r="C59" s="177"/>
      <c r="D59" s="177"/>
      <c r="E59" s="178"/>
      <c r="F59" s="35" t="s">
        <v>33</v>
      </c>
      <c r="G59" s="175" t="s">
        <v>34</v>
      </c>
      <c r="H59" s="176"/>
      <c r="I59" s="61"/>
    </row>
    <row r="60" spans="1:9" s="31" customFormat="1" ht="27" customHeight="1" x14ac:dyDescent="0.35">
      <c r="A60" s="169"/>
      <c r="B60" s="170"/>
      <c r="C60" s="170"/>
      <c r="D60" s="170"/>
      <c r="E60" s="171"/>
      <c r="F60" s="167"/>
      <c r="G60" s="169"/>
      <c r="H60" s="158"/>
      <c r="I60" s="158"/>
    </row>
    <row r="61" spans="1:9" s="31" customFormat="1" ht="33" customHeight="1" thickBot="1" x14ac:dyDescent="0.4">
      <c r="A61" s="172"/>
      <c r="B61" s="173"/>
      <c r="C61" s="173"/>
      <c r="D61" s="173"/>
      <c r="E61" s="174"/>
      <c r="F61" s="168"/>
      <c r="G61" s="172"/>
      <c r="H61" s="159"/>
      <c r="I61" s="159"/>
    </row>
  </sheetData>
  <mergeCells count="29">
    <mergeCell ref="E7:F7"/>
    <mergeCell ref="E8:F8"/>
    <mergeCell ref="A54:H54"/>
    <mergeCell ref="A55:H55"/>
    <mergeCell ref="A56:H56"/>
    <mergeCell ref="A51:H51"/>
    <mergeCell ref="A52:H52"/>
    <mergeCell ref="A53:H53"/>
    <mergeCell ref="H8:I8"/>
    <mergeCell ref="H7:I7"/>
    <mergeCell ref="A50:H50"/>
    <mergeCell ref="A7:C7"/>
    <mergeCell ref="A8:C8"/>
    <mergeCell ref="E9:F9"/>
    <mergeCell ref="A6:C6"/>
    <mergeCell ref="E6:F6"/>
    <mergeCell ref="H6:I6"/>
    <mergeCell ref="A1:C3"/>
    <mergeCell ref="A4:C4"/>
    <mergeCell ref="D1:H3"/>
    <mergeCell ref="D4:H4"/>
    <mergeCell ref="I60:I61"/>
    <mergeCell ref="A57:H57"/>
    <mergeCell ref="A58:H58"/>
    <mergeCell ref="F60:F61"/>
    <mergeCell ref="A60:E61"/>
    <mergeCell ref="G59:H59"/>
    <mergeCell ref="A59:E59"/>
    <mergeCell ref="G60:H61"/>
  </mergeCells>
  <pageMargins left="3.937007874015748E-2" right="3.937007874015748E-2" top="0.15748031496062992" bottom="0.15748031496062992" header="0" footer="0"/>
  <pageSetup scale="39" orientation="landscape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INSTRUCTIVO</vt:lpstr>
      <vt:lpstr>S-CON-FO-02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GteAdmin</dc:creator>
  <cp:keywords/>
  <dc:description/>
  <cp:lastModifiedBy>Usuario</cp:lastModifiedBy>
  <cp:revision/>
  <cp:lastPrinted>2026-09-02T14:56:55Z</cp:lastPrinted>
  <dcterms:created xsi:type="dcterms:W3CDTF">2015-02-23T15:20:26Z</dcterms:created>
  <dcterms:modified xsi:type="dcterms:W3CDTF">2026-09-03T15:41:08Z</dcterms:modified>
  <cp:category/>
  <cp:contentStatus/>
</cp:coreProperties>
</file>