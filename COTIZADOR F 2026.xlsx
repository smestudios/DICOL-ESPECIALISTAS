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415" windowHeight="12720"/>
  </bookViews>
  <sheets>
    <sheet name="COTIZADOR" sheetId="1" r:id="rId1"/>
  </sheets>
  <calcPr calcId="145621"/>
</workbook>
</file>

<file path=xl/calcChain.xml><?xml version="1.0" encoding="utf-8"?>
<calcChain xmlns="http://schemas.openxmlformats.org/spreadsheetml/2006/main">
  <c r="B23" i="1" l="1"/>
  <c r="G23" i="1"/>
  <c r="H75" i="1"/>
  <c r="B2" i="1" l="1"/>
  <c r="C2" i="1" s="1"/>
  <c r="D2" i="1" s="1"/>
  <c r="C3" i="1"/>
  <c r="D3" i="1" s="1"/>
  <c r="G3" i="1"/>
  <c r="H3" i="1" s="1"/>
  <c r="C4" i="1"/>
  <c r="D4" i="1"/>
  <c r="G4" i="1"/>
  <c r="H4" i="1"/>
  <c r="C5" i="1"/>
  <c r="D5" i="1"/>
  <c r="G5" i="1"/>
  <c r="H5" i="1" s="1"/>
  <c r="C6" i="1"/>
  <c r="D6" i="1"/>
  <c r="G6" i="1"/>
  <c r="H6" i="1"/>
  <c r="C7" i="1"/>
  <c r="D7" i="1"/>
  <c r="G7" i="1"/>
  <c r="H7" i="1" s="1"/>
  <c r="C8" i="1"/>
  <c r="D8" i="1" s="1"/>
  <c r="G8" i="1"/>
  <c r="H8" i="1"/>
  <c r="C9" i="1"/>
  <c r="D9" i="1"/>
  <c r="G9" i="1"/>
  <c r="H9" i="1" s="1"/>
  <c r="B14" i="1"/>
  <c r="G14" i="1" s="1"/>
  <c r="H14" i="1" s="1"/>
  <c r="C14" i="1"/>
  <c r="D14" i="1" s="1"/>
  <c r="B15" i="1"/>
  <c r="C15" i="1"/>
  <c r="D15" i="1"/>
  <c r="G15" i="1"/>
  <c r="H15" i="1"/>
  <c r="C16" i="1"/>
  <c r="D16" i="1" s="1"/>
  <c r="G16" i="1"/>
  <c r="H16" i="1" s="1"/>
  <c r="C17" i="1"/>
  <c r="D17" i="1" s="1"/>
  <c r="G17" i="1"/>
  <c r="H17" i="1"/>
  <c r="B18" i="1"/>
  <c r="C18" i="1" s="1"/>
  <c r="D18" i="1" s="1"/>
  <c r="C19" i="1"/>
  <c r="D19" i="1"/>
  <c r="G19" i="1"/>
  <c r="H19" i="1" s="1"/>
  <c r="C20" i="1"/>
  <c r="D20" i="1"/>
  <c r="G20" i="1"/>
  <c r="H20" i="1"/>
  <c r="C21" i="1"/>
  <c r="D21" i="1"/>
  <c r="G21" i="1"/>
  <c r="H21" i="1" s="1"/>
  <c r="B27" i="1"/>
  <c r="G27" i="1" s="1"/>
  <c r="H27" i="1" s="1"/>
  <c r="C27" i="1"/>
  <c r="D27" i="1"/>
  <c r="C28" i="1"/>
  <c r="D28" i="1"/>
  <c r="G28" i="1"/>
  <c r="H28" i="1" s="1"/>
  <c r="C29" i="1"/>
  <c r="D29" i="1" s="1"/>
  <c r="G29" i="1"/>
  <c r="H29" i="1"/>
  <c r="B30" i="1"/>
  <c r="C30" i="1"/>
  <c r="D30" i="1"/>
  <c r="G30" i="1"/>
  <c r="H30" i="1"/>
  <c r="C31" i="1"/>
  <c r="D31" i="1" s="1"/>
  <c r="G31" i="1"/>
  <c r="H31" i="1" s="1"/>
  <c r="C32" i="1"/>
  <c r="D32" i="1"/>
  <c r="G32" i="1"/>
  <c r="H32" i="1" s="1"/>
  <c r="C33" i="1"/>
  <c r="D33" i="1" s="1"/>
  <c r="G33" i="1"/>
  <c r="H33" i="1" s="1"/>
  <c r="C39" i="1"/>
  <c r="D39" i="1" s="1"/>
  <c r="G39" i="1"/>
  <c r="H39" i="1"/>
  <c r="C40" i="1"/>
  <c r="D40" i="1"/>
  <c r="G40" i="1"/>
  <c r="H40" i="1"/>
  <c r="C41" i="1"/>
  <c r="D41" i="1" s="1"/>
  <c r="G41" i="1"/>
  <c r="H41" i="1"/>
  <c r="C42" i="1"/>
  <c r="D42" i="1"/>
  <c r="G42" i="1"/>
  <c r="H42" i="1"/>
  <c r="C43" i="1"/>
  <c r="D43" i="1" s="1"/>
  <c r="G43" i="1"/>
  <c r="H43" i="1"/>
  <c r="C44" i="1"/>
  <c r="D44" i="1"/>
  <c r="G44" i="1"/>
  <c r="H44" i="1"/>
  <c r="C45" i="1"/>
  <c r="D45" i="1" s="1"/>
  <c r="G45" i="1"/>
  <c r="H45" i="1"/>
  <c r="B47" i="1"/>
  <c r="C47" i="1"/>
  <c r="D47" i="1"/>
  <c r="G47" i="1"/>
  <c r="H47" i="1" s="1"/>
  <c r="C51" i="1"/>
  <c r="D51" i="1" s="1"/>
  <c r="G51" i="1"/>
  <c r="H51" i="1" s="1"/>
  <c r="C52" i="1"/>
  <c r="D52" i="1"/>
  <c r="G52" i="1"/>
  <c r="H52" i="1" s="1"/>
  <c r="C53" i="1"/>
  <c r="D53" i="1" s="1"/>
  <c r="G53" i="1"/>
  <c r="H53" i="1"/>
  <c r="C54" i="1"/>
  <c r="D54" i="1" s="1"/>
  <c r="G54" i="1"/>
  <c r="H54" i="1" s="1"/>
  <c r="C55" i="1"/>
  <c r="D55" i="1" s="1"/>
  <c r="G55" i="1"/>
  <c r="H55" i="1"/>
  <c r="C56" i="1"/>
  <c r="D56" i="1"/>
  <c r="G56" i="1"/>
  <c r="H56" i="1" s="1"/>
  <c r="C57" i="1"/>
  <c r="D57" i="1" s="1"/>
  <c r="G57" i="1"/>
  <c r="H57" i="1"/>
  <c r="D58" i="1"/>
  <c r="B59" i="1"/>
  <c r="G59" i="1" s="1"/>
  <c r="H59" i="1" s="1"/>
  <c r="C59" i="1"/>
  <c r="D59" i="1" s="1"/>
  <c r="D60" i="1"/>
  <c r="D61" i="1"/>
  <c r="C63" i="1"/>
  <c r="D63" i="1"/>
  <c r="G63" i="1"/>
  <c r="H63" i="1" s="1"/>
  <c r="C64" i="1"/>
  <c r="D64" i="1" s="1"/>
  <c r="G64" i="1"/>
  <c r="H64" i="1"/>
  <c r="C65" i="1"/>
  <c r="D65" i="1" s="1"/>
  <c r="G65" i="1"/>
  <c r="H65" i="1" s="1"/>
  <c r="C66" i="1"/>
  <c r="D66" i="1" s="1"/>
  <c r="G66" i="1"/>
  <c r="H66" i="1"/>
  <c r="C67" i="1"/>
  <c r="D67" i="1"/>
  <c r="G67" i="1"/>
  <c r="H67" i="1" s="1"/>
  <c r="C68" i="1"/>
  <c r="D68" i="1" s="1"/>
  <c r="G68" i="1"/>
  <c r="H68" i="1"/>
  <c r="B70" i="1"/>
  <c r="G70" i="1" s="1"/>
  <c r="H70" i="1" s="1"/>
  <c r="C70" i="1"/>
  <c r="D70" i="1"/>
  <c r="C72" i="1"/>
  <c r="D72" i="1" s="1"/>
  <c r="G72" i="1"/>
  <c r="H72" i="1"/>
  <c r="C75" i="1"/>
  <c r="D75" i="1"/>
  <c r="C76" i="1"/>
  <c r="D76" i="1"/>
  <c r="H76" i="1"/>
  <c r="C77" i="1"/>
  <c r="D77" i="1"/>
  <c r="H77" i="1"/>
  <c r="C78" i="1"/>
  <c r="D78" i="1"/>
  <c r="H78" i="1"/>
  <c r="C79" i="1"/>
  <c r="D79" i="1"/>
  <c r="H79" i="1"/>
  <c r="C80" i="1"/>
  <c r="D80" i="1"/>
  <c r="H80" i="1"/>
  <c r="C81" i="1"/>
  <c r="D81" i="1" s="1"/>
  <c r="H81" i="1"/>
  <c r="C82" i="1"/>
  <c r="D82" i="1"/>
  <c r="H82" i="1"/>
  <c r="C83" i="1"/>
  <c r="D83" i="1" s="1"/>
  <c r="H83" i="1"/>
  <c r="C84" i="1"/>
  <c r="D84" i="1"/>
  <c r="H84" i="1"/>
  <c r="C85" i="1"/>
  <c r="D85" i="1"/>
  <c r="H85" i="1"/>
  <c r="C88" i="1"/>
  <c r="H88" i="1"/>
  <c r="C89" i="1"/>
  <c r="H89" i="1"/>
  <c r="C90" i="1"/>
  <c r="H90" i="1"/>
  <c r="C91" i="1"/>
  <c r="H91" i="1"/>
  <c r="C92" i="1"/>
  <c r="H92" i="1"/>
  <c r="C93" i="1"/>
  <c r="H93" i="1"/>
  <c r="C94" i="1"/>
  <c r="H94" i="1"/>
  <c r="C98" i="1"/>
  <c r="D98" i="1" s="1"/>
  <c r="G98" i="1"/>
  <c r="H98" i="1"/>
  <c r="C99" i="1"/>
  <c r="D99" i="1" s="1"/>
  <c r="G99" i="1"/>
  <c r="H99" i="1"/>
  <c r="C100" i="1"/>
  <c r="D100" i="1" s="1"/>
  <c r="G100" i="1"/>
  <c r="H100" i="1"/>
  <c r="C101" i="1"/>
  <c r="D101" i="1" s="1"/>
  <c r="G101" i="1"/>
  <c r="H101" i="1"/>
  <c r="C102" i="1"/>
  <c r="D102" i="1"/>
  <c r="G102" i="1"/>
  <c r="H102" i="1" s="1"/>
  <c r="C106" i="1"/>
  <c r="D106" i="1" s="1"/>
  <c r="G106" i="1"/>
  <c r="H106" i="1"/>
  <c r="C107" i="1"/>
  <c r="D107" i="1"/>
  <c r="G107" i="1"/>
  <c r="H107" i="1"/>
  <c r="B35" i="1" l="1"/>
  <c r="G18" i="1"/>
  <c r="H18" i="1" s="1"/>
  <c r="G2" i="1"/>
  <c r="H2" i="1" s="1"/>
  <c r="B11" i="1"/>
  <c r="C23" i="1" l="1"/>
  <c r="D23" i="1" s="1"/>
  <c r="H23" i="1"/>
  <c r="C11" i="1"/>
  <c r="D11" i="1" s="1"/>
  <c r="G11" i="1"/>
  <c r="H11" i="1" s="1"/>
  <c r="C35" i="1"/>
  <c r="D35" i="1" s="1"/>
  <c r="G35" i="1"/>
  <c r="H35" i="1" s="1"/>
</calcChain>
</file>

<file path=xl/sharedStrings.xml><?xml version="1.0" encoding="utf-8"?>
<sst xmlns="http://schemas.openxmlformats.org/spreadsheetml/2006/main" count="147" uniqueCount="71">
  <si>
    <t>KIT DE ASPERSORES T25</t>
  </si>
  <si>
    <t>SPREADING SISTEM T25</t>
  </si>
  <si>
    <t>PRECIO ALIADO SIN IVA</t>
  </si>
  <si>
    <t>PRECIO ALIADO CON IVA</t>
  </si>
  <si>
    <t>MARGEN ALIADO</t>
  </si>
  <si>
    <t>MARGEN DICOL CLIENTE FINAL</t>
  </si>
  <si>
    <t>MSRP SIN IVA</t>
  </si>
  <si>
    <t>MSRP (CON IVA)</t>
  </si>
  <si>
    <t>DESCRIPCION</t>
  </si>
  <si>
    <t>KIT DE ASPERSORES</t>
  </si>
  <si>
    <t>GENERADOR D12000iEP</t>
  </si>
  <si>
    <t>CARGADOR C10000</t>
  </si>
  <si>
    <t>BATERIA DB1560</t>
  </si>
  <si>
    <t>AGRAS T50</t>
  </si>
  <si>
    <t>T100/T70P - Carcaza Externa para SIN FIN Pequeño</t>
  </si>
  <si>
    <t>T100/T70P - SIN FIN Pequeño</t>
  </si>
  <si>
    <t>T100/T70P - SIN FIN Mediano</t>
  </si>
  <si>
    <t>T100/T70P - SIN FIN Grande</t>
  </si>
  <si>
    <t>[T100/T70P] SINFÍN EXTRAGRANDE</t>
  </si>
  <si>
    <t>Batería externa control remoto DB37</t>
  </si>
  <si>
    <t xml:space="preserve">control remoto 65w </t>
  </si>
  <si>
    <t>PRECIO CLIENTE FINAL SIN IVA</t>
  </si>
  <si>
    <t>PRECIO CLIENTE FINAL CON IVA</t>
  </si>
  <si>
    <t>DJI Terra Agriculture Overseas 1 year 3device</t>
  </si>
  <si>
    <t xml:space="preserve">DJI Terra - Standard - 1Year  </t>
  </si>
  <si>
    <t>DJI Terra - Standard - Permanent</t>
  </si>
  <si>
    <t>DJI Terra - Standard - Permanent (Offline)</t>
  </si>
  <si>
    <t>DJI Terra - Standard - 1Year (Offline)</t>
  </si>
  <si>
    <t>DRTK-3 BASE TRIPODE</t>
  </si>
  <si>
    <t>DRTK-3 ESTACION MOVIL AG</t>
  </si>
  <si>
    <t>Mavic 3 Enterprise Series-PART 05-Battery Kit</t>
  </si>
  <si>
    <t>Mavic 3 Multispectral (Universal Edition)</t>
  </si>
  <si>
    <t>Cable adaptador de bateria  DB2100</t>
  </si>
  <si>
    <t>Combo T25P (1 dron+3 bate. +1 generador)</t>
  </si>
  <si>
    <t>T25P Centrifugal Atomizing Sprinkler Package</t>
  </si>
  <si>
    <t>T25P Spreading System</t>
  </si>
  <si>
    <t>Generador D6000i</t>
  </si>
  <si>
    <t>Cargador C8000</t>
  </si>
  <si>
    <t>Batería DB800</t>
  </si>
  <si>
    <t>Dron T25P</t>
  </si>
  <si>
    <t>Combo T55 (1 dron+3 bate. +1 generador)</t>
  </si>
  <si>
    <t>Aspersores Adicionales</t>
    <phoneticPr fontId="0" type="noConversion"/>
  </si>
  <si>
    <t>Lift System</t>
    <phoneticPr fontId="0" type="noConversion"/>
  </si>
  <si>
    <t>Spreading System</t>
    <phoneticPr fontId="0" type="noConversion"/>
  </si>
  <si>
    <t>Generador D8000iE</t>
  </si>
  <si>
    <t>Cargador C7000</t>
  </si>
  <si>
    <t>Batería DB1050</t>
  </si>
  <si>
    <t>Dron T55</t>
  </si>
  <si>
    <t>Aspersores Adicionales</t>
  </si>
  <si>
    <t>Lift System</t>
  </si>
  <si>
    <t>Spreading System</t>
  </si>
  <si>
    <t>Generador D14000iE</t>
  </si>
  <si>
    <t>Cargador C12000</t>
  </si>
  <si>
    <t>Batería DB1580</t>
  </si>
  <si>
    <t>Combo T70P (1 dron+3 bate. +1 generador)</t>
  </si>
  <si>
    <t>DJI T70 SeriesMistNozzle Package</t>
  </si>
  <si>
    <t>DJI T70 Spreading System</t>
  </si>
  <si>
    <t>Batería DB2160</t>
  </si>
  <si>
    <t>Drone T70P</t>
  </si>
  <si>
    <t>Combo T100 (1 dron+3 bate. +1 generador)</t>
  </si>
  <si>
    <t>DJI T100 Mist Nozzle Package</t>
  </si>
  <si>
    <t>DJI T100 Lift System Kit</t>
  </si>
  <si>
    <t>DJI 150L Spreading System (Global)</t>
  </si>
  <si>
    <t>DJI T100 SISTEMA DE PULVERIZACIÓN</t>
  </si>
  <si>
    <t>DJI T100 FUSELAJE INTELIGENTE</t>
  </si>
  <si>
    <t>Combo T100 (1 dron+6 bate. +2 generador)</t>
  </si>
  <si>
    <t>DJI T100 SISTEMA DE PULVERIZACIÓN DB</t>
  </si>
  <si>
    <t>DJI T100 FUSELAJE INTELIGENTE DB</t>
  </si>
  <si>
    <t>VALOR EN KIT - MENOS 22%</t>
  </si>
  <si>
    <t>DRTK-3 ESTACION MULTIFUNCIONAL</t>
  </si>
  <si>
    <t>DJI RELAY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</si>
</sst>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-&quot;$&quot;* #,##0_-;\-&quot;$&quot;* #,##0_-;_-&quot;$&quot;* &quot;-&quot;?_-;_-@_-"/>
    <numFmt numFmtId="166" formatCode="_-&quot;$&quot;* #,##0.00000_-;\-&quot;$&quot;* #,##0.00000_-;_-&quot;$&quot;* &quot;-&quot;??_-;_-@_-"/>
    <numFmt numFmtId="167" formatCode="_-&quot;$&quot;* #,##0.0_-;\-&quot;$&quot;* #,##0.0_-;_-&quot;$&quot;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.5"/>
      <color rgb="FF000000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rgb="FF000000"/>
      <name val="DengXian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1" applyNumberFormat="1" applyFont="1"/>
    <xf numFmtId="44" fontId="0" fillId="0" borderId="0" xfId="0" applyNumberFormat="1"/>
    <xf numFmtId="0" fontId="4" fillId="0" borderId="0" xfId="0" applyFont="1"/>
    <xf numFmtId="165" fontId="0" fillId="2" borderId="1" xfId="0" applyNumberFormat="1" applyFill="1" applyBorder="1"/>
    <xf numFmtId="164" fontId="0" fillId="0" borderId="1" xfId="1" applyNumberFormat="1" applyFont="1" applyBorder="1"/>
    <xf numFmtId="9" fontId="0" fillId="0" borderId="1" xfId="2" applyFont="1" applyBorder="1"/>
    <xf numFmtId="0" fontId="4" fillId="0" borderId="0" xfId="0" applyFont="1" applyFill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9" fontId="0" fillId="0" borderId="0" xfId="2" applyFont="1"/>
    <xf numFmtId="164" fontId="6" fillId="0" borderId="1" xfId="1" applyNumberFormat="1" applyFont="1" applyBorder="1" applyAlignment="1">
      <alignment horizontal="left" vertical="center"/>
    </xf>
    <xf numFmtId="9" fontId="6" fillId="0" borderId="1" xfId="2" applyFont="1" applyBorder="1" applyAlignment="1">
      <alignment horizontal="left" vertical="center"/>
    </xf>
    <xf numFmtId="9" fontId="0" fillId="0" borderId="0" xfId="2" applyFont="1" applyBorder="1"/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9" fontId="0" fillId="0" borderId="1" xfId="0" applyNumberFormat="1" applyBorder="1" applyAlignment="1">
      <alignment horizontal="center" vertical="center"/>
    </xf>
    <xf numFmtId="9" fontId="6" fillId="0" borderId="1" xfId="2" applyFont="1" applyBorder="1" applyAlignment="1">
      <alignment horizontal="right" vertical="center"/>
    </xf>
    <xf numFmtId="164" fontId="0" fillId="5" borderId="1" xfId="0" applyNumberFormat="1" applyFill="1" applyBorder="1"/>
    <xf numFmtId="9" fontId="0" fillId="5" borderId="1" xfId="0" applyNumberFormat="1" applyFill="1" applyBorder="1" applyAlignment="1">
      <alignment horizontal="center" vertical="center"/>
    </xf>
    <xf numFmtId="9" fontId="3" fillId="5" borderId="1" xfId="2" applyFont="1" applyFill="1" applyBorder="1"/>
    <xf numFmtId="164" fontId="0" fillId="5" borderId="1" xfId="1" applyNumberFormat="1" applyFont="1" applyFill="1" applyBorder="1"/>
    <xf numFmtId="164" fontId="6" fillId="5" borderId="1" xfId="1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64" fontId="0" fillId="0" borderId="0" xfId="0" applyNumberFormat="1"/>
    <xf numFmtId="44" fontId="0" fillId="0" borderId="0" xfId="2" applyNumberFormat="1" applyFont="1"/>
    <xf numFmtId="44" fontId="0" fillId="0" borderId="0" xfId="1" applyNumberFormat="1" applyFont="1" applyBorder="1"/>
    <xf numFmtId="164" fontId="9" fillId="0" borderId="0" xfId="1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4" fontId="0" fillId="0" borderId="0" xfId="1" applyNumberFormat="1" applyFont="1"/>
    <xf numFmtId="44" fontId="0" fillId="0" borderId="1" xfId="1" applyNumberFormat="1" applyFont="1" applyBorder="1"/>
    <xf numFmtId="44" fontId="0" fillId="0" borderId="0" xfId="1" applyFont="1"/>
    <xf numFmtId="9" fontId="0" fillId="0" borderId="0" xfId="2" applyFont="1" applyFill="1" applyBorder="1"/>
    <xf numFmtId="0" fontId="7" fillId="0" borderId="2" xfId="0" applyFont="1" applyBorder="1" applyAlignment="1">
      <alignment vertical="center" wrapText="1"/>
    </xf>
    <xf numFmtId="164" fontId="8" fillId="6" borderId="1" xfId="1" applyNumberFormat="1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166" fontId="0" fillId="0" borderId="0" xfId="0" applyNumberFormat="1"/>
    <xf numFmtId="167" fontId="0" fillId="0" borderId="0" xfId="0" applyNumberFormat="1"/>
    <xf numFmtId="0" fontId="0" fillId="0" borderId="0" xfId="0" applyFill="1"/>
    <xf numFmtId="167" fontId="0" fillId="0" borderId="0" xfId="0" applyNumberFormat="1" applyFill="1"/>
    <xf numFmtId="164" fontId="0" fillId="0" borderId="0" xfId="0" applyNumberFormat="1" applyFill="1"/>
    <xf numFmtId="164" fontId="0" fillId="0" borderId="1" xfId="0" applyNumberFormat="1" applyFill="1" applyBorder="1"/>
    <xf numFmtId="9" fontId="0" fillId="0" borderId="1" xfId="2" applyFont="1" applyFill="1" applyBorder="1"/>
    <xf numFmtId="164" fontId="0" fillId="0" borderId="1" xfId="1" applyNumberFormat="1" applyFont="1" applyFill="1" applyBorder="1"/>
    <xf numFmtId="164" fontId="6" fillId="0" borderId="1" xfId="1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164" fontId="4" fillId="0" borderId="0" xfId="0" applyNumberFormat="1" applyFont="1" applyFill="1"/>
    <xf numFmtId="0" fontId="8" fillId="6" borderId="1" xfId="0" applyFont="1" applyFill="1" applyBorder="1" applyAlignment="1">
      <alignment horizontal="left" vertical="center"/>
    </xf>
    <xf numFmtId="164" fontId="4" fillId="0" borderId="0" xfId="0" applyNumberFormat="1" applyFont="1"/>
    <xf numFmtId="0" fontId="2" fillId="6" borderId="0" xfId="0" applyFont="1" applyFill="1"/>
    <xf numFmtId="0" fontId="10" fillId="7" borderId="0" xfId="0" applyFont="1" applyFill="1"/>
    <xf numFmtId="6" fontId="10" fillId="7" borderId="0" xfId="0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tabSelected="1" zoomScale="90" zoomScaleNormal="90" workbookViewId="0">
      <pane xSplit="1" topLeftCell="B1" activePane="topRight" state="frozen"/>
      <selection pane="topRight" activeCell="A3" sqref="A3"/>
    </sheetView>
  </sheetViews>
  <sheetFormatPr baseColWidth="10" defaultRowHeight="15"/>
  <cols>
    <col min="1" max="1" width="38" bestFit="1" customWidth="1"/>
    <col min="2" max="2" width="24.28515625" bestFit="1" customWidth="1"/>
    <col min="3" max="3" width="19" style="1" customWidth="1"/>
    <col min="4" max="4" width="18.85546875" hidden="1" customWidth="1"/>
    <col min="5" max="5" width="5.140625" customWidth="1"/>
    <col min="6" max="6" width="14.5703125" bestFit="1" customWidth="1"/>
    <col min="7" max="7" width="17.140625" customWidth="1"/>
    <col min="8" max="8" width="16.85546875" customWidth="1"/>
    <col min="9" max="9" width="28.7109375" bestFit="1" customWidth="1"/>
    <col min="10" max="10" width="16.28515625" bestFit="1" customWidth="1"/>
    <col min="11" max="11" width="15.5703125" bestFit="1" customWidth="1"/>
    <col min="12" max="12" width="14.5703125" bestFit="1" customWidth="1"/>
    <col min="13" max="13" width="13.5703125" bestFit="1" customWidth="1"/>
  </cols>
  <sheetData>
    <row r="1" spans="1:10" ht="42.75">
      <c r="A1" s="55" t="s">
        <v>8</v>
      </c>
      <c r="B1" s="55" t="s">
        <v>7</v>
      </c>
      <c r="C1" s="55" t="s">
        <v>6</v>
      </c>
      <c r="D1" s="29" t="s">
        <v>5</v>
      </c>
      <c r="E1" s="57"/>
      <c r="F1" s="29" t="s">
        <v>4</v>
      </c>
      <c r="G1" s="29" t="s">
        <v>3</v>
      </c>
      <c r="H1" s="29" t="s">
        <v>2</v>
      </c>
    </row>
    <row r="2" spans="1:10">
      <c r="A2" s="15" t="s">
        <v>67</v>
      </c>
      <c r="B2" s="27">
        <f>70999000-13000000</f>
        <v>57999000</v>
      </c>
      <c r="C2" s="5">
        <f t="shared" ref="C2:C9" si="0">B2/1.19</f>
        <v>48738655.462184876</v>
      </c>
      <c r="D2" s="6" t="e">
        <f>(C2-#REF!)/C2</f>
        <v>#REF!</v>
      </c>
      <c r="E2" s="3"/>
      <c r="F2" s="19">
        <v>0.22</v>
      </c>
      <c r="G2" s="18">
        <f>B2*(1-F2)</f>
        <v>45239220</v>
      </c>
      <c r="H2" s="18">
        <f t="shared" ref="H2:H9" si="1">G2/1.19</f>
        <v>38016151.260504201</v>
      </c>
    </row>
    <row r="3" spans="1:10">
      <c r="A3" s="15" t="s">
        <v>66</v>
      </c>
      <c r="B3" s="27">
        <v>13000000</v>
      </c>
      <c r="C3" s="5">
        <f t="shared" si="0"/>
        <v>10924369.74789916</v>
      </c>
      <c r="D3" s="6" t="e">
        <f>(C3-#REF!)/C3</f>
        <v>#REF!</v>
      </c>
      <c r="E3" s="56"/>
      <c r="F3" s="19">
        <v>0.22</v>
      </c>
      <c r="G3" s="18">
        <f>B3*(1-F3)</f>
        <v>10140000</v>
      </c>
      <c r="H3" s="18">
        <f t="shared" si="1"/>
        <v>8521008.4033613447</v>
      </c>
    </row>
    <row r="4" spans="1:10">
      <c r="A4" s="53" t="s">
        <v>57</v>
      </c>
      <c r="B4" s="52">
        <v>15500000</v>
      </c>
      <c r="C4" s="51">
        <f t="shared" si="0"/>
        <v>13025210.084033614</v>
      </c>
      <c r="D4" s="50" t="e">
        <f>(C4-#REF!)/C4</f>
        <v>#REF!</v>
      </c>
      <c r="E4" s="7"/>
      <c r="F4" s="19">
        <v>0.22</v>
      </c>
      <c r="G4" s="49">
        <f>(B4*(1-F4))</f>
        <v>12090000</v>
      </c>
      <c r="H4" s="49">
        <f t="shared" si="1"/>
        <v>10159663.865546219</v>
      </c>
    </row>
    <row r="5" spans="1:10">
      <c r="A5" s="15" t="s">
        <v>52</v>
      </c>
      <c r="B5" s="27">
        <v>7000000</v>
      </c>
      <c r="C5" s="5">
        <f t="shared" si="0"/>
        <v>5882352.9411764713</v>
      </c>
      <c r="D5" s="6" t="e">
        <f>(C5-#REF!)/C5</f>
        <v>#REF!</v>
      </c>
      <c r="E5" s="3"/>
      <c r="F5" s="19">
        <v>0.22</v>
      </c>
      <c r="G5" s="18">
        <f>B5*(1-F5)</f>
        <v>5460000</v>
      </c>
      <c r="H5" s="18">
        <f t="shared" si="1"/>
        <v>4588235.2941176472</v>
      </c>
    </row>
    <row r="6" spans="1:10">
      <c r="A6" s="15" t="s">
        <v>51</v>
      </c>
      <c r="B6" s="27">
        <v>19000000</v>
      </c>
      <c r="C6" s="5">
        <f t="shared" si="0"/>
        <v>15966386.554621849</v>
      </c>
      <c r="D6" s="6" t="e">
        <f>(C6-#REF!)/C6</f>
        <v>#REF!</v>
      </c>
      <c r="E6" s="3"/>
      <c r="F6" s="19">
        <v>0.22</v>
      </c>
      <c r="G6" s="18">
        <f>(B6*(1-F6))</f>
        <v>14820000</v>
      </c>
      <c r="H6" s="18">
        <f t="shared" si="1"/>
        <v>12453781.512605043</v>
      </c>
    </row>
    <row r="7" spans="1:10">
      <c r="A7" s="15" t="s">
        <v>62</v>
      </c>
      <c r="B7" s="27">
        <v>9800000</v>
      </c>
      <c r="C7" s="5">
        <f t="shared" si="0"/>
        <v>8235294.1176470593</v>
      </c>
      <c r="D7" s="6" t="e">
        <f>(C7-#REF!)/C7</f>
        <v>#REF!</v>
      </c>
      <c r="E7" s="3"/>
      <c r="F7" s="19">
        <v>0.22</v>
      </c>
      <c r="G7" s="18">
        <f>B7*(1-F7)</f>
        <v>7644000</v>
      </c>
      <c r="H7" s="18">
        <f t="shared" si="1"/>
        <v>6423529.4117647065</v>
      </c>
    </row>
    <row r="8" spans="1:10" ht="15.75">
      <c r="A8" s="15" t="s">
        <v>61</v>
      </c>
      <c r="B8" s="27">
        <v>4999000</v>
      </c>
      <c r="C8" s="5">
        <f t="shared" si="0"/>
        <v>4200840.3361344542</v>
      </c>
      <c r="D8" s="6" t="e">
        <f>(C8-#REF!)/C8</f>
        <v>#REF!</v>
      </c>
      <c r="E8" s="3"/>
      <c r="F8" s="19">
        <v>0</v>
      </c>
      <c r="G8" s="18">
        <f>B8*(1-F8)</f>
        <v>4999000</v>
      </c>
      <c r="H8" s="18">
        <f t="shared" si="1"/>
        <v>4200840.3361344542</v>
      </c>
      <c r="I8" s="58" t="s">
        <v>68</v>
      </c>
      <c r="J8" s="59">
        <v>4500000</v>
      </c>
    </row>
    <row r="9" spans="1:10">
      <c r="A9" s="15" t="s">
        <v>60</v>
      </c>
      <c r="B9" s="27">
        <v>7000000</v>
      </c>
      <c r="C9" s="5">
        <f t="shared" si="0"/>
        <v>5882352.9411764713</v>
      </c>
      <c r="D9" s="6" t="e">
        <f>(C9-#REF!)/C9</f>
        <v>#REF!</v>
      </c>
      <c r="E9" s="3"/>
      <c r="F9" s="19">
        <v>0.22</v>
      </c>
      <c r="G9" s="18">
        <f>B9*(1-F9)</f>
        <v>5460000</v>
      </c>
      <c r="H9" s="18">
        <f t="shared" si="1"/>
        <v>4588235.2941176472</v>
      </c>
    </row>
    <row r="10" spans="1:10">
      <c r="A10" s="15"/>
      <c r="B10" s="27"/>
      <c r="C10" s="5"/>
      <c r="D10" s="6"/>
      <c r="E10" s="7"/>
      <c r="G10" s="19"/>
      <c r="H10" s="18"/>
    </row>
    <row r="11" spans="1:10">
      <c r="A11" s="26" t="s">
        <v>65</v>
      </c>
      <c r="B11" s="25">
        <f>B2+B3+(B6*2)+(B4*6)</f>
        <v>201999000</v>
      </c>
      <c r="C11" s="24">
        <f>B11/1.19</f>
        <v>169747058.82352942</v>
      </c>
      <c r="D11" s="23" t="e">
        <f>(C11-#REF!)/C11</f>
        <v>#REF!</v>
      </c>
      <c r="E11" s="7"/>
      <c r="F11" s="22">
        <v>0.22</v>
      </c>
      <c r="G11" s="21">
        <f>B11*(1-F11)</f>
        <v>157559220</v>
      </c>
      <c r="H11" s="21">
        <f>G11/1.19</f>
        <v>132402705.88235295</v>
      </c>
    </row>
    <row r="12" spans="1:10">
      <c r="E12" s="7"/>
    </row>
    <row r="13" spans="1:10" ht="29.1" customHeight="1">
      <c r="A13" s="55" t="s">
        <v>8</v>
      </c>
      <c r="B13" s="55" t="s">
        <v>7</v>
      </c>
      <c r="C13" s="55" t="s">
        <v>6</v>
      </c>
      <c r="D13" s="29" t="s">
        <v>5</v>
      </c>
      <c r="E13" s="7"/>
      <c r="F13" s="29" t="s">
        <v>4</v>
      </c>
      <c r="G13" s="29" t="s">
        <v>3</v>
      </c>
      <c r="H13" s="29" t="s">
        <v>2</v>
      </c>
    </row>
    <row r="14" spans="1:10">
      <c r="A14" s="15" t="s">
        <v>64</v>
      </c>
      <c r="B14" s="27">
        <f>70999000-13000000</f>
        <v>57999000</v>
      </c>
      <c r="C14" s="5">
        <f t="shared" ref="C14:C21" si="2">B14/1.19</f>
        <v>48738655.462184876</v>
      </c>
      <c r="D14" s="6" t="e">
        <f>(C14-#REF!)/C14</f>
        <v>#REF!</v>
      </c>
      <c r="E14" s="7"/>
      <c r="F14" s="19">
        <v>0.32</v>
      </c>
      <c r="G14" s="18">
        <f>B14*(1-F14)</f>
        <v>39439320</v>
      </c>
      <c r="H14" s="18">
        <f t="shared" ref="H14:H21" si="3">G14/1.19</f>
        <v>33142285.714285716</v>
      </c>
      <c r="I14" s="31"/>
    </row>
    <row r="15" spans="1:10">
      <c r="A15" s="15" t="s">
        <v>63</v>
      </c>
      <c r="B15" s="27">
        <f>13000000</f>
        <v>13000000</v>
      </c>
      <c r="C15" s="5">
        <f t="shared" si="2"/>
        <v>10924369.74789916</v>
      </c>
      <c r="D15" s="6" t="e">
        <f>(C15-#REF!)/C15</f>
        <v>#REF!</v>
      </c>
      <c r="E15" s="54"/>
      <c r="F15" s="19">
        <v>0.32</v>
      </c>
      <c r="G15" s="18">
        <f>B15*(1-F15)</f>
        <v>8840000</v>
      </c>
      <c r="H15" s="18">
        <f t="shared" si="3"/>
        <v>7428571.4285714291</v>
      </c>
      <c r="I15" s="31"/>
      <c r="J15" s="45"/>
    </row>
    <row r="16" spans="1:10" s="46" customFormat="1">
      <c r="A16" s="53" t="s">
        <v>57</v>
      </c>
      <c r="B16" s="52">
        <v>15500000</v>
      </c>
      <c r="C16" s="51">
        <f t="shared" si="2"/>
        <v>13025210.084033614</v>
      </c>
      <c r="D16" s="50" t="e">
        <f>(C16-#REF!)/C16</f>
        <v>#REF!</v>
      </c>
      <c r="E16" s="7"/>
      <c r="F16" s="19">
        <v>0.32</v>
      </c>
      <c r="G16" s="49">
        <f>(B16*(1-F16))</f>
        <v>10539999.999999998</v>
      </c>
      <c r="H16" s="49">
        <f t="shared" si="3"/>
        <v>8857142.8571428563</v>
      </c>
      <c r="I16" s="48"/>
      <c r="J16" s="47"/>
    </row>
    <row r="17" spans="1:13">
      <c r="A17" s="15" t="s">
        <v>52</v>
      </c>
      <c r="B17" s="27">
        <v>7000000</v>
      </c>
      <c r="C17" s="5">
        <f t="shared" si="2"/>
        <v>5882352.9411764713</v>
      </c>
      <c r="D17" s="6" t="e">
        <f>(C17-#REF!)/C17</f>
        <v>#REF!</v>
      </c>
      <c r="E17" s="7"/>
      <c r="F17" s="19">
        <v>0.32</v>
      </c>
      <c r="G17" s="18">
        <f>B17*(1-F17)</f>
        <v>4760000</v>
      </c>
      <c r="H17" s="18">
        <f t="shared" si="3"/>
        <v>4000000</v>
      </c>
      <c r="I17" s="45"/>
      <c r="J17" s="44"/>
    </row>
    <row r="18" spans="1:13">
      <c r="A18" s="15" t="s">
        <v>51</v>
      </c>
      <c r="B18" s="27">
        <f>19000000</f>
        <v>19000000</v>
      </c>
      <c r="C18" s="5">
        <f t="shared" si="2"/>
        <v>15966386.554621849</v>
      </c>
      <c r="D18" s="6" t="e">
        <f>(C18-#REF!)/C18</f>
        <v>#REF!</v>
      </c>
      <c r="E18" s="7"/>
      <c r="F18" s="19">
        <v>0.32</v>
      </c>
      <c r="G18" s="18">
        <f>(B18*(1-F18))</f>
        <v>12919999.999999998</v>
      </c>
      <c r="H18" s="18">
        <f t="shared" si="3"/>
        <v>10857142.857142856</v>
      </c>
      <c r="J18" s="2"/>
    </row>
    <row r="19" spans="1:13">
      <c r="A19" s="15" t="s">
        <v>62</v>
      </c>
      <c r="B19" s="27">
        <v>9800000</v>
      </c>
      <c r="C19" s="5">
        <f t="shared" si="2"/>
        <v>8235294.1176470593</v>
      </c>
      <c r="D19" s="6" t="e">
        <f>(C19-#REF!)/C19</f>
        <v>#REF!</v>
      </c>
      <c r="E19" s="7"/>
      <c r="F19" s="19">
        <v>0.32</v>
      </c>
      <c r="G19" s="18">
        <f>B19*(1-F19)</f>
        <v>6663999.9999999991</v>
      </c>
      <c r="H19" s="18">
        <f t="shared" si="3"/>
        <v>5599999.9999999991</v>
      </c>
      <c r="J19" s="2"/>
    </row>
    <row r="20" spans="1:13" ht="15.75">
      <c r="A20" s="15" t="s">
        <v>61</v>
      </c>
      <c r="B20" s="27">
        <v>4999000</v>
      </c>
      <c r="C20" s="5">
        <f t="shared" si="2"/>
        <v>4200840.3361344542</v>
      </c>
      <c r="D20" s="6" t="e">
        <f>(C20-#REF!)/C20</f>
        <v>#REF!</v>
      </c>
      <c r="E20" s="7"/>
      <c r="F20" s="19">
        <v>0.32</v>
      </c>
      <c r="G20" s="18">
        <f>B20*(1-F20)</f>
        <v>3399319.9999999995</v>
      </c>
      <c r="H20" s="18">
        <f t="shared" si="3"/>
        <v>2856571.4285714282</v>
      </c>
      <c r="I20" s="58" t="s">
        <v>68</v>
      </c>
      <c r="J20" s="59">
        <v>4500000</v>
      </c>
      <c r="K20" s="2"/>
    </row>
    <row r="21" spans="1:13">
      <c r="A21" s="15" t="s">
        <v>60</v>
      </c>
      <c r="B21" s="27">
        <v>7000000</v>
      </c>
      <c r="C21" s="5">
        <f t="shared" si="2"/>
        <v>5882352.9411764713</v>
      </c>
      <c r="D21" s="6" t="e">
        <f>(C21-#REF!)/C21</f>
        <v>#REF!</v>
      </c>
      <c r="E21" s="7"/>
      <c r="F21" s="19">
        <v>0.32</v>
      </c>
      <c r="G21" s="18">
        <f>B21*(1-F21)</f>
        <v>4760000</v>
      </c>
      <c r="H21" s="18">
        <f t="shared" si="3"/>
        <v>4000000</v>
      </c>
      <c r="I21" s="2"/>
    </row>
    <row r="22" spans="1:13">
      <c r="A22" s="15"/>
      <c r="B22" s="27"/>
      <c r="C22" s="5"/>
      <c r="D22" s="6"/>
      <c r="E22" s="7"/>
      <c r="F22" s="19"/>
      <c r="G22" s="19"/>
      <c r="H22" s="18"/>
      <c r="I22" s="38"/>
    </row>
    <row r="23" spans="1:13">
      <c r="A23" s="26" t="s">
        <v>59</v>
      </c>
      <c r="B23" s="25">
        <f>B14+B18+B15+(B16*3)</f>
        <v>136499000</v>
      </c>
      <c r="C23" s="24">
        <f>B23/1.19</f>
        <v>114705042.01680672</v>
      </c>
      <c r="D23" s="23" t="e">
        <f>(C23-#REF!)/C23</f>
        <v>#REF!</v>
      </c>
      <c r="E23" s="7"/>
      <c r="F23" s="22">
        <v>0.32</v>
      </c>
      <c r="G23" s="21">
        <f>B23*(1-F23)</f>
        <v>92819319.999999985</v>
      </c>
      <c r="H23" s="21">
        <f>G23/1.19</f>
        <v>77999428.571428567</v>
      </c>
      <c r="J23" s="2"/>
      <c r="K23" s="2"/>
      <c r="L23" s="38"/>
    </row>
    <row r="24" spans="1:13">
      <c r="A24" s="43"/>
      <c r="B24" s="42"/>
      <c r="D24" s="11"/>
      <c r="E24" s="7"/>
      <c r="G24" s="31"/>
      <c r="H24" s="2"/>
      <c r="I24" s="2"/>
      <c r="J24" s="31"/>
      <c r="K24" s="2"/>
      <c r="L24" s="38"/>
    </row>
    <row r="25" spans="1:13">
      <c r="B25" s="2"/>
      <c r="D25" s="11"/>
      <c r="E25" s="7"/>
      <c r="G25" s="31"/>
      <c r="H25" s="31"/>
      <c r="J25" s="38"/>
      <c r="K25" s="2"/>
      <c r="M25" s="2"/>
    </row>
    <row r="26" spans="1:13" ht="42.75">
      <c r="A26" s="30" t="s">
        <v>8</v>
      </c>
      <c r="B26" s="30" t="s">
        <v>7</v>
      </c>
      <c r="C26" s="41" t="s">
        <v>6</v>
      </c>
      <c r="D26" s="29" t="s">
        <v>5</v>
      </c>
      <c r="E26" s="7"/>
      <c r="F26" s="29" t="s">
        <v>4</v>
      </c>
      <c r="G26" s="29" t="s">
        <v>3</v>
      </c>
      <c r="H26" s="29" t="s">
        <v>2</v>
      </c>
      <c r="K26" s="31"/>
    </row>
    <row r="27" spans="1:13">
      <c r="A27" s="15" t="s">
        <v>58</v>
      </c>
      <c r="B27" s="27">
        <f>42999000</f>
        <v>42999000</v>
      </c>
      <c r="C27" s="5">
        <f t="shared" ref="C27:C33" si="4">B27/1.19</f>
        <v>36133613.445378155</v>
      </c>
      <c r="D27" s="6" t="e">
        <f>(C27-#REF!)/C27</f>
        <v>#REF!</v>
      </c>
      <c r="E27" s="7"/>
      <c r="F27" s="19">
        <v>0.22</v>
      </c>
      <c r="G27" s="18">
        <f>(B27*(1-F27))</f>
        <v>33539220</v>
      </c>
      <c r="H27" s="18">
        <f t="shared" ref="H27:H33" si="5">G27/1.19</f>
        <v>28184218.487394959</v>
      </c>
      <c r="K27" s="2"/>
    </row>
    <row r="28" spans="1:13">
      <c r="A28" s="15" t="s">
        <v>57</v>
      </c>
      <c r="B28" s="27">
        <v>15500000</v>
      </c>
      <c r="C28" s="5">
        <f t="shared" si="4"/>
        <v>13025210.084033614</v>
      </c>
      <c r="D28" s="6" t="e">
        <f>(C28-#REF!)/C28</f>
        <v>#REF!</v>
      </c>
      <c r="E28" s="7"/>
      <c r="F28" s="19">
        <v>0.22</v>
      </c>
      <c r="G28" s="18">
        <f t="shared" ref="G28:G33" si="6">B28*(1-F28)</f>
        <v>12090000</v>
      </c>
      <c r="H28" s="18">
        <f t="shared" si="5"/>
        <v>10159663.865546219</v>
      </c>
      <c r="K28" s="2"/>
    </row>
    <row r="29" spans="1:13">
      <c r="A29" s="15" t="s">
        <v>52</v>
      </c>
      <c r="B29" s="27">
        <v>7000000</v>
      </c>
      <c r="C29" s="5">
        <f t="shared" si="4"/>
        <v>5882352.9411764713</v>
      </c>
      <c r="D29" s="6" t="e">
        <f>(C29-#REF!)/C29</f>
        <v>#REF!</v>
      </c>
      <c r="E29" s="7"/>
      <c r="F29" s="19">
        <v>0.22</v>
      </c>
      <c r="G29" s="18">
        <f t="shared" si="6"/>
        <v>5460000</v>
      </c>
      <c r="H29" s="18">
        <f t="shared" si="5"/>
        <v>4588235.2941176472</v>
      </c>
      <c r="K29" s="2"/>
    </row>
    <row r="30" spans="1:13">
      <c r="A30" s="15" t="s">
        <v>51</v>
      </c>
      <c r="B30" s="27">
        <f>19000000</f>
        <v>19000000</v>
      </c>
      <c r="C30" s="5">
        <f t="shared" si="4"/>
        <v>15966386.554621849</v>
      </c>
      <c r="D30" s="6" t="e">
        <f>(C30-#REF!)/C30</f>
        <v>#REF!</v>
      </c>
      <c r="E30" s="7"/>
      <c r="F30" s="19">
        <v>0.22</v>
      </c>
      <c r="G30" s="18">
        <f t="shared" si="6"/>
        <v>14820000</v>
      </c>
      <c r="H30" s="18">
        <f t="shared" si="5"/>
        <v>12453781.512605043</v>
      </c>
      <c r="K30" s="2"/>
      <c r="L30" s="2"/>
    </row>
    <row r="31" spans="1:13">
      <c r="A31" s="15" t="s">
        <v>56</v>
      </c>
      <c r="B31" s="27">
        <v>6700000</v>
      </c>
      <c r="C31" s="5">
        <f t="shared" si="4"/>
        <v>5630252.1008403366</v>
      </c>
      <c r="D31" s="6" t="e">
        <f>(C31-#REF!)/C31</f>
        <v>#REF!</v>
      </c>
      <c r="E31" s="7"/>
      <c r="F31" s="19">
        <v>0.22</v>
      </c>
      <c r="G31" s="18">
        <f t="shared" si="6"/>
        <v>5226000</v>
      </c>
      <c r="H31" s="18">
        <f t="shared" si="5"/>
        <v>4391596.6386554623</v>
      </c>
      <c r="L31" s="2"/>
    </row>
    <row r="32" spans="1:13">
      <c r="A32" s="15" t="s">
        <v>49</v>
      </c>
      <c r="B32" s="27">
        <v>3500000</v>
      </c>
      <c r="C32" s="5">
        <f t="shared" si="4"/>
        <v>2941176.4705882357</v>
      </c>
      <c r="D32" s="6" t="e">
        <f>(C32-#REF!)/C32</f>
        <v>#REF!</v>
      </c>
      <c r="E32" s="7"/>
      <c r="F32" s="19">
        <v>0.22</v>
      </c>
      <c r="G32" s="18">
        <f t="shared" si="6"/>
        <v>2730000</v>
      </c>
      <c r="H32" s="18">
        <f t="shared" si="5"/>
        <v>2294117.6470588236</v>
      </c>
      <c r="L32" s="38"/>
    </row>
    <row r="33" spans="1:12">
      <c r="A33" s="40" t="s">
        <v>55</v>
      </c>
      <c r="B33" s="27">
        <v>5400000</v>
      </c>
      <c r="C33" s="5">
        <f t="shared" si="4"/>
        <v>4537815.1260504201</v>
      </c>
      <c r="D33" s="6" t="e">
        <f>(C33-#REF!)/C33</f>
        <v>#REF!</v>
      </c>
      <c r="E33" s="7"/>
      <c r="F33" s="19">
        <v>0.22</v>
      </c>
      <c r="G33" s="18">
        <f t="shared" si="6"/>
        <v>4212000</v>
      </c>
      <c r="H33" s="18">
        <f t="shared" si="5"/>
        <v>3539495.7983193281</v>
      </c>
      <c r="I33" s="31"/>
      <c r="L33" s="2"/>
    </row>
    <row r="34" spans="1:12">
      <c r="A34" s="28"/>
      <c r="B34" s="27"/>
      <c r="C34" s="5"/>
      <c r="D34" s="6"/>
      <c r="E34" s="7"/>
      <c r="F34" s="19"/>
      <c r="G34" s="18"/>
      <c r="H34" s="18"/>
      <c r="I34" s="2"/>
      <c r="L34" s="2"/>
    </row>
    <row r="35" spans="1:12">
      <c r="A35" s="26" t="s">
        <v>54</v>
      </c>
      <c r="B35" s="25">
        <f>B27+B30+(B28*3)</f>
        <v>108499000</v>
      </c>
      <c r="C35" s="24">
        <f>B35/1.19</f>
        <v>91175630.25210084</v>
      </c>
      <c r="D35" s="23" t="e">
        <f>(C35-#REF!)/C35</f>
        <v>#REF!</v>
      </c>
      <c r="E35" s="7"/>
      <c r="F35" s="22">
        <v>0.22</v>
      </c>
      <c r="G35" s="21">
        <f>B35*(1-F35)</f>
        <v>84629220</v>
      </c>
      <c r="H35" s="21">
        <f>G35/1.19</f>
        <v>71116991.596638665</v>
      </c>
    </row>
    <row r="36" spans="1:12">
      <c r="B36" s="31"/>
      <c r="C36" s="36"/>
      <c r="D36" s="11"/>
      <c r="E36" s="7"/>
      <c r="G36" s="31"/>
      <c r="H36" s="31"/>
      <c r="I36" s="31"/>
    </row>
    <row r="37" spans="1:12">
      <c r="B37" s="31"/>
      <c r="C37" s="36"/>
      <c r="D37" s="11"/>
      <c r="E37" s="7"/>
      <c r="G37" s="31"/>
      <c r="H37" s="31"/>
      <c r="I37" s="31"/>
    </row>
    <row r="38" spans="1:12" ht="42.75">
      <c r="A38" s="30" t="s">
        <v>8</v>
      </c>
      <c r="B38" s="30" t="s">
        <v>7</v>
      </c>
      <c r="C38" s="30" t="s">
        <v>6</v>
      </c>
      <c r="D38" s="29" t="s">
        <v>5</v>
      </c>
      <c r="E38" s="7"/>
      <c r="F38" s="29" t="s">
        <v>4</v>
      </c>
      <c r="G38" s="29" t="s">
        <v>3</v>
      </c>
      <c r="H38" s="29" t="s">
        <v>2</v>
      </c>
      <c r="I38" s="31"/>
    </row>
    <row r="39" spans="1:12">
      <c r="A39" s="15" t="s">
        <v>47</v>
      </c>
      <c r="B39" s="27">
        <v>37599000</v>
      </c>
      <c r="C39" s="5">
        <f t="shared" ref="C39:C45" si="7">B39/1.19</f>
        <v>31595798.319327731</v>
      </c>
      <c r="D39" s="6" t="e">
        <f>(C39-#REF!)/C39</f>
        <v>#REF!</v>
      </c>
      <c r="E39" s="7"/>
      <c r="F39" s="19">
        <v>0.22</v>
      </c>
      <c r="G39" s="18">
        <f t="shared" ref="G39:G45" si="8">B39*(1-F39)</f>
        <v>29327220</v>
      </c>
      <c r="H39" s="18">
        <f t="shared" ref="H39:H45" si="9">G39/1.19</f>
        <v>24644722.68907563</v>
      </c>
      <c r="I39" s="31"/>
    </row>
    <row r="40" spans="1:12">
      <c r="A40" s="15" t="s">
        <v>53</v>
      </c>
      <c r="B40" s="27">
        <v>12000000</v>
      </c>
      <c r="C40" s="5">
        <f t="shared" si="7"/>
        <v>10084033.613445379</v>
      </c>
      <c r="D40" s="6" t="e">
        <f>(C40-#REF!)/C40</f>
        <v>#REF!</v>
      </c>
      <c r="E40" s="7"/>
      <c r="F40" s="19">
        <v>0.22</v>
      </c>
      <c r="G40" s="18">
        <f t="shared" si="8"/>
        <v>9360000</v>
      </c>
      <c r="H40" s="18">
        <f t="shared" si="9"/>
        <v>7865546.218487395</v>
      </c>
      <c r="I40" s="31"/>
    </row>
    <row r="41" spans="1:12">
      <c r="A41" s="15" t="s">
        <v>52</v>
      </c>
      <c r="B41" s="27">
        <v>7000000</v>
      </c>
      <c r="C41" s="5">
        <f t="shared" si="7"/>
        <v>5882352.9411764713</v>
      </c>
      <c r="D41" s="6" t="e">
        <f>(C41-#REF!)/C41</f>
        <v>#REF!</v>
      </c>
      <c r="E41" s="7"/>
      <c r="F41" s="19">
        <v>0.22</v>
      </c>
      <c r="G41" s="18">
        <f t="shared" si="8"/>
        <v>5460000</v>
      </c>
      <c r="H41" s="18">
        <f t="shared" si="9"/>
        <v>4588235.2941176472</v>
      </c>
      <c r="I41" s="31"/>
    </row>
    <row r="42" spans="1:12">
      <c r="A42" s="15" t="s">
        <v>51</v>
      </c>
      <c r="B42" s="27">
        <v>19000000</v>
      </c>
      <c r="C42" s="5">
        <f t="shared" si="7"/>
        <v>15966386.554621849</v>
      </c>
      <c r="D42" s="6" t="e">
        <f>(C42-#REF!)/C42</f>
        <v>#REF!</v>
      </c>
      <c r="E42" s="7"/>
      <c r="F42" s="19">
        <v>0.22</v>
      </c>
      <c r="G42" s="18">
        <f t="shared" si="8"/>
        <v>14820000</v>
      </c>
      <c r="H42" s="18">
        <f t="shared" si="9"/>
        <v>12453781.512605043</v>
      </c>
      <c r="I42" s="31"/>
    </row>
    <row r="43" spans="1:12">
      <c r="A43" s="15" t="s">
        <v>50</v>
      </c>
      <c r="B43" s="27">
        <v>6000000</v>
      </c>
      <c r="C43" s="5">
        <f t="shared" si="7"/>
        <v>5042016.8067226894</v>
      </c>
      <c r="D43" s="6" t="e">
        <f>(C43-#REF!)/C43</f>
        <v>#REF!</v>
      </c>
      <c r="E43" s="7"/>
      <c r="F43" s="19">
        <v>0.22</v>
      </c>
      <c r="G43" s="18">
        <f t="shared" si="8"/>
        <v>4680000</v>
      </c>
      <c r="H43" s="18">
        <f t="shared" si="9"/>
        <v>3932773.1092436975</v>
      </c>
      <c r="I43" s="31"/>
    </row>
    <row r="44" spans="1:12">
      <c r="A44" s="15" t="s">
        <v>49</v>
      </c>
      <c r="B44" s="27">
        <v>3500000</v>
      </c>
      <c r="C44" s="5">
        <f t="shared" si="7"/>
        <v>2941176.4705882357</v>
      </c>
      <c r="D44" s="6" t="e">
        <f>(C44-#REF!)/C44</f>
        <v>#REF!</v>
      </c>
      <c r="E44" s="7"/>
      <c r="F44" s="19">
        <v>0.22</v>
      </c>
      <c r="G44" s="18">
        <f t="shared" si="8"/>
        <v>2730000</v>
      </c>
      <c r="H44" s="18">
        <f t="shared" si="9"/>
        <v>2294117.6470588236</v>
      </c>
      <c r="I44" s="31"/>
    </row>
    <row r="45" spans="1:12">
      <c r="A45" s="15" t="s">
        <v>48</v>
      </c>
      <c r="B45" s="27">
        <v>5400000</v>
      </c>
      <c r="C45" s="5">
        <f t="shared" si="7"/>
        <v>4537815.1260504201</v>
      </c>
      <c r="D45" s="6" t="e">
        <f>(C45-#REF!)/C45</f>
        <v>#REF!</v>
      </c>
      <c r="E45" s="7"/>
      <c r="F45" s="19">
        <v>0.22</v>
      </c>
      <c r="G45" s="18">
        <f t="shared" si="8"/>
        <v>4212000</v>
      </c>
      <c r="H45" s="18">
        <f t="shared" si="9"/>
        <v>3539495.7983193281</v>
      </c>
      <c r="I45" s="31"/>
    </row>
    <row r="46" spans="1:12">
      <c r="A46" s="28"/>
      <c r="B46" s="27"/>
      <c r="C46" s="5"/>
      <c r="D46" s="6"/>
      <c r="E46" s="7"/>
      <c r="F46" s="19"/>
      <c r="G46" s="18"/>
      <c r="H46" s="18"/>
      <c r="I46" s="31"/>
    </row>
    <row r="47" spans="1:12">
      <c r="A47" s="26" t="s">
        <v>40</v>
      </c>
      <c r="B47" s="25">
        <f>B39+B42+(B40*3)</f>
        <v>92599000</v>
      </c>
      <c r="C47" s="24">
        <f>B47/1.19</f>
        <v>77814285.714285716</v>
      </c>
      <c r="D47" s="23" t="e">
        <f>(C47-#REF!)/C47</f>
        <v>#REF!</v>
      </c>
      <c r="E47" s="7"/>
      <c r="F47" s="22">
        <v>0.22</v>
      </c>
      <c r="G47" s="21">
        <f>B47*(1-F47)</f>
        <v>72227220</v>
      </c>
      <c r="H47" s="21">
        <f>G47/1.19</f>
        <v>60695142.857142858</v>
      </c>
      <c r="I47" s="31"/>
    </row>
    <row r="48" spans="1:12">
      <c r="B48" s="31"/>
      <c r="D48" s="39"/>
      <c r="E48" s="7"/>
      <c r="I48" s="31"/>
    </row>
    <row r="49" spans="1:9">
      <c r="B49" s="38"/>
      <c r="E49" s="7"/>
      <c r="I49" s="31"/>
    </row>
    <row r="50" spans="1:9" ht="42.75">
      <c r="A50" s="30" t="s">
        <v>8</v>
      </c>
      <c r="B50" s="30" t="s">
        <v>7</v>
      </c>
      <c r="C50" s="30" t="s">
        <v>6</v>
      </c>
      <c r="D50" s="29" t="s">
        <v>5</v>
      </c>
      <c r="E50" s="7"/>
      <c r="F50" s="29" t="s">
        <v>4</v>
      </c>
      <c r="G50" s="29" t="s">
        <v>3</v>
      </c>
      <c r="H50" s="29" t="s">
        <v>2</v>
      </c>
      <c r="I50" s="31"/>
    </row>
    <row r="51" spans="1:9">
      <c r="A51" s="15" t="s">
        <v>47</v>
      </c>
      <c r="B51" s="27">
        <v>37599000</v>
      </c>
      <c r="C51" s="5">
        <f t="shared" ref="C51:C57" si="10">B51/1.19</f>
        <v>31595798.319327731</v>
      </c>
      <c r="D51" s="6" t="e">
        <f>(C51-#REF!)/C51</f>
        <v>#REF!</v>
      </c>
      <c r="E51" s="7"/>
      <c r="F51" s="19">
        <v>0.22</v>
      </c>
      <c r="G51" s="18">
        <f t="shared" ref="G51:G57" si="11">B51*(1-F51)</f>
        <v>29327220</v>
      </c>
      <c r="H51" s="18">
        <f t="shared" ref="H51:H57" si="12">G51/1.19</f>
        <v>24644722.68907563</v>
      </c>
      <c r="I51" s="31"/>
    </row>
    <row r="52" spans="1:9">
      <c r="A52" s="15" t="s">
        <v>46</v>
      </c>
      <c r="B52" s="27">
        <v>6700000</v>
      </c>
      <c r="C52" s="5">
        <f t="shared" si="10"/>
        <v>5630252.1008403366</v>
      </c>
      <c r="D52" s="6" t="e">
        <f>(C52-#REF!)/C52</f>
        <v>#REF!</v>
      </c>
      <c r="E52" s="7"/>
      <c r="F52" s="19">
        <v>0.22</v>
      </c>
      <c r="G52" s="18">
        <f t="shared" si="11"/>
        <v>5226000</v>
      </c>
      <c r="H52" s="18">
        <f t="shared" si="12"/>
        <v>4391596.6386554623</v>
      </c>
      <c r="I52" s="31"/>
    </row>
    <row r="53" spans="1:9">
      <c r="A53" s="15" t="s">
        <v>45</v>
      </c>
      <c r="B53" s="27">
        <v>6900000</v>
      </c>
      <c r="C53" s="5">
        <f t="shared" si="10"/>
        <v>5798319.3277310925</v>
      </c>
      <c r="D53" s="6" t="e">
        <f>(C53-#REF!)/C53</f>
        <v>#REF!</v>
      </c>
      <c r="E53" s="7"/>
      <c r="F53" s="19">
        <v>0.22</v>
      </c>
      <c r="G53" s="18">
        <f t="shared" si="11"/>
        <v>5382000</v>
      </c>
      <c r="H53" s="18">
        <f t="shared" si="12"/>
        <v>4522689.0756302522</v>
      </c>
      <c r="I53" s="31"/>
    </row>
    <row r="54" spans="1:9">
      <c r="A54" s="15" t="s">
        <v>44</v>
      </c>
      <c r="B54" s="27">
        <v>11000000</v>
      </c>
      <c r="C54" s="5">
        <f t="shared" si="10"/>
        <v>9243697.4789915979</v>
      </c>
      <c r="D54" s="6" t="e">
        <f>(C54-#REF!)/C54</f>
        <v>#REF!</v>
      </c>
      <c r="E54" s="7"/>
      <c r="F54" s="19">
        <v>0.22</v>
      </c>
      <c r="G54" s="18">
        <f t="shared" si="11"/>
        <v>8580000</v>
      </c>
      <c r="H54" s="18">
        <f t="shared" si="12"/>
        <v>7210084.0336134452</v>
      </c>
      <c r="I54" s="31"/>
    </row>
    <row r="55" spans="1:9">
      <c r="A55" s="15" t="s">
        <v>43</v>
      </c>
      <c r="B55" s="27">
        <v>6000000</v>
      </c>
      <c r="C55" s="5">
        <f t="shared" si="10"/>
        <v>5042016.8067226894</v>
      </c>
      <c r="D55" s="6" t="e">
        <f>(C55-#REF!)/C55</f>
        <v>#REF!</v>
      </c>
      <c r="E55" s="7"/>
      <c r="F55" s="19">
        <v>0.22</v>
      </c>
      <c r="G55" s="18">
        <f t="shared" si="11"/>
        <v>4680000</v>
      </c>
      <c r="H55" s="18">
        <f t="shared" si="12"/>
        <v>3932773.1092436975</v>
      </c>
      <c r="I55" s="31"/>
    </row>
    <row r="56" spans="1:9">
      <c r="A56" s="15" t="s">
        <v>42</v>
      </c>
      <c r="B56" s="27">
        <v>3500000</v>
      </c>
      <c r="C56" s="5">
        <f t="shared" si="10"/>
        <v>2941176.4705882357</v>
      </c>
      <c r="D56" s="6" t="e">
        <f>(C56-#REF!)/C56</f>
        <v>#REF!</v>
      </c>
      <c r="E56" s="7"/>
      <c r="F56" s="19">
        <v>0.22</v>
      </c>
      <c r="G56" s="18">
        <f t="shared" si="11"/>
        <v>2730000</v>
      </c>
      <c r="H56" s="18">
        <f t="shared" si="12"/>
        <v>2294117.6470588236</v>
      </c>
      <c r="I56" s="31"/>
    </row>
    <row r="57" spans="1:9">
      <c r="A57" s="15" t="s">
        <v>41</v>
      </c>
      <c r="B57" s="27">
        <v>5400000</v>
      </c>
      <c r="C57" s="5">
        <f t="shared" si="10"/>
        <v>4537815.1260504201</v>
      </c>
      <c r="D57" s="6" t="e">
        <f>(C57-#REF!)/C57</f>
        <v>#REF!</v>
      </c>
      <c r="E57" s="7"/>
      <c r="F57" s="19">
        <v>0.22</v>
      </c>
      <c r="G57" s="18">
        <f t="shared" si="11"/>
        <v>4212000</v>
      </c>
      <c r="H57" s="18">
        <f t="shared" si="12"/>
        <v>3539495.7983193281</v>
      </c>
      <c r="I57" s="31"/>
    </row>
    <row r="58" spans="1:9">
      <c r="A58" s="28"/>
      <c r="B58" s="27"/>
      <c r="C58" s="37"/>
      <c r="D58" s="6" t="e">
        <f>(C58-#REF!)/C58</f>
        <v>#REF!</v>
      </c>
      <c r="E58" s="7"/>
      <c r="F58" s="19"/>
      <c r="G58" s="18"/>
      <c r="H58" s="18"/>
      <c r="I58" s="31"/>
    </row>
    <row r="59" spans="1:9">
      <c r="A59" s="26" t="s">
        <v>40</v>
      </c>
      <c r="B59" s="25">
        <f>B51+B54+(B52*3)</f>
        <v>68699000</v>
      </c>
      <c r="C59" s="24">
        <f>B59/1.19</f>
        <v>57730252.100840338</v>
      </c>
      <c r="D59" s="23" t="e">
        <f>(C59-#REF!)/C59</f>
        <v>#REF!</v>
      </c>
      <c r="E59" s="7"/>
      <c r="F59" s="22">
        <v>0.22</v>
      </c>
      <c r="G59" s="21">
        <f>B59*(1-F59)</f>
        <v>53585220</v>
      </c>
      <c r="H59" s="21">
        <f>G59/1.19</f>
        <v>45029596.638655461</v>
      </c>
      <c r="I59" s="31"/>
    </row>
    <row r="60" spans="1:9">
      <c r="B60" s="31"/>
      <c r="C60" s="36"/>
      <c r="D60" s="11" t="e">
        <f>(C60-#REF!)/C60</f>
        <v>#REF!</v>
      </c>
      <c r="E60" s="7"/>
      <c r="G60" s="31"/>
      <c r="H60" s="31"/>
      <c r="I60" s="31"/>
    </row>
    <row r="61" spans="1:9">
      <c r="A61" s="35"/>
      <c r="B61" s="34"/>
      <c r="C61" s="33"/>
      <c r="D61" s="32" t="e">
        <f>(C61-#REF!)/C61</f>
        <v>#REF!</v>
      </c>
      <c r="E61" s="7"/>
      <c r="G61" s="31"/>
      <c r="H61" s="31"/>
      <c r="I61" s="2"/>
    </row>
    <row r="62" spans="1:9" ht="42.75">
      <c r="A62" s="30" t="s">
        <v>8</v>
      </c>
      <c r="B62" s="30" t="s">
        <v>7</v>
      </c>
      <c r="C62" s="30" t="s">
        <v>6</v>
      </c>
      <c r="D62" s="29" t="s">
        <v>5</v>
      </c>
      <c r="E62" s="7"/>
      <c r="F62" s="29" t="s">
        <v>4</v>
      </c>
      <c r="G62" s="29" t="s">
        <v>3</v>
      </c>
      <c r="H62" s="29" t="s">
        <v>2</v>
      </c>
    </row>
    <row r="63" spans="1:9">
      <c r="A63" s="15" t="s">
        <v>39</v>
      </c>
      <c r="B63" s="27">
        <v>30000000</v>
      </c>
      <c r="C63" s="5">
        <f t="shared" ref="C63:C68" si="13">B63/1.19</f>
        <v>25210084.033613447</v>
      </c>
      <c r="D63" s="6" t="e">
        <f>(C63-#REF!)/C63</f>
        <v>#REF!</v>
      </c>
      <c r="E63" s="7"/>
      <c r="F63" s="19">
        <v>0.22</v>
      </c>
      <c r="G63" s="18">
        <f t="shared" ref="G63:G68" si="14">B63*(1-F63)</f>
        <v>23400000</v>
      </c>
      <c r="H63" s="18">
        <f t="shared" ref="H63:H68" si="15">G63/1.19</f>
        <v>19663865.546218488</v>
      </c>
    </row>
    <row r="64" spans="1:9">
      <c r="A64" s="15" t="s">
        <v>38</v>
      </c>
      <c r="B64" s="27">
        <v>5000000</v>
      </c>
      <c r="C64" s="5">
        <f t="shared" si="13"/>
        <v>4201680.6722689075</v>
      </c>
      <c r="D64" s="6" t="e">
        <f>(C64-#REF!)/C64</f>
        <v>#REF!</v>
      </c>
      <c r="E64" s="7"/>
      <c r="F64" s="19">
        <v>0.22</v>
      </c>
      <c r="G64" s="18">
        <f t="shared" si="14"/>
        <v>3900000</v>
      </c>
      <c r="H64" s="18">
        <f t="shared" si="15"/>
        <v>3277310.9243697482</v>
      </c>
    </row>
    <row r="65" spans="1:9">
      <c r="A65" s="15" t="s">
        <v>37</v>
      </c>
      <c r="B65" s="27">
        <v>5500000</v>
      </c>
      <c r="C65" s="5">
        <f t="shared" si="13"/>
        <v>4621848.7394957989</v>
      </c>
      <c r="D65" s="6" t="e">
        <f>(C65-#REF!)/C65</f>
        <v>#REF!</v>
      </c>
      <c r="E65" s="7"/>
      <c r="F65" s="19">
        <v>0.22</v>
      </c>
      <c r="G65" s="18">
        <f t="shared" si="14"/>
        <v>4290000</v>
      </c>
      <c r="H65" s="18">
        <f t="shared" si="15"/>
        <v>3605042.0168067226</v>
      </c>
    </row>
    <row r="66" spans="1:9">
      <c r="A66" s="15" t="s">
        <v>36</v>
      </c>
      <c r="B66" s="27">
        <v>10000000</v>
      </c>
      <c r="C66" s="5">
        <f t="shared" si="13"/>
        <v>8403361.3445378151</v>
      </c>
      <c r="D66" s="6" t="e">
        <f>(C66-#REF!)/C66</f>
        <v>#REF!</v>
      </c>
      <c r="E66" s="7"/>
      <c r="F66" s="19">
        <v>0.22</v>
      </c>
      <c r="G66" s="18">
        <f t="shared" si="14"/>
        <v>7800000</v>
      </c>
      <c r="H66" s="18">
        <f t="shared" si="15"/>
        <v>6554621.8487394964</v>
      </c>
    </row>
    <row r="67" spans="1:9">
      <c r="A67" s="15" t="s">
        <v>35</v>
      </c>
      <c r="B67" s="27">
        <v>5500000</v>
      </c>
      <c r="C67" s="5">
        <f t="shared" si="13"/>
        <v>4621848.7394957989</v>
      </c>
      <c r="D67" s="6" t="e">
        <f>(C67-#REF!)/C67</f>
        <v>#REF!</v>
      </c>
      <c r="E67" s="7"/>
      <c r="F67" s="19">
        <v>0.22</v>
      </c>
      <c r="G67" s="18">
        <f t="shared" si="14"/>
        <v>4290000</v>
      </c>
      <c r="H67" s="18">
        <f t="shared" si="15"/>
        <v>3605042.0168067226</v>
      </c>
    </row>
    <row r="68" spans="1:9" ht="19.5" customHeight="1">
      <c r="A68" s="15" t="s">
        <v>34</v>
      </c>
      <c r="B68" s="27">
        <v>2400000</v>
      </c>
      <c r="C68" s="5">
        <f t="shared" si="13"/>
        <v>2016806.7226890756</v>
      </c>
      <c r="D68" s="6" t="e">
        <f>(C68-#REF!)/C68</f>
        <v>#REF!</v>
      </c>
      <c r="E68" s="7"/>
      <c r="F68" s="19">
        <v>0.22</v>
      </c>
      <c r="G68" s="18">
        <f t="shared" si="14"/>
        <v>1872000</v>
      </c>
      <c r="H68" s="18">
        <f t="shared" si="15"/>
        <v>1573109.2436974791</v>
      </c>
    </row>
    <row r="69" spans="1:9" ht="15.6" customHeight="1">
      <c r="A69" s="28"/>
      <c r="B69" s="27"/>
      <c r="C69" s="5"/>
      <c r="D69" s="6"/>
      <c r="E69" s="7"/>
      <c r="F69" s="19"/>
      <c r="G69" s="18"/>
      <c r="H69" s="18"/>
    </row>
    <row r="70" spans="1:9">
      <c r="A70" s="26" t="s">
        <v>33</v>
      </c>
      <c r="B70" s="25">
        <f>B63+B66+(B64*3)</f>
        <v>55000000</v>
      </c>
      <c r="C70" s="24">
        <f>B70/1.19</f>
        <v>46218487.394957982</v>
      </c>
      <c r="D70" s="23" t="e">
        <f>(C70-#REF!)/C70</f>
        <v>#REF!</v>
      </c>
      <c r="E70" s="7"/>
      <c r="F70" s="22">
        <v>0.22</v>
      </c>
      <c r="G70" s="21">
        <f>B70*(1-F70)</f>
        <v>42900000</v>
      </c>
      <c r="H70" s="21">
        <f>G70/1.19</f>
        <v>36050420.168067232</v>
      </c>
    </row>
    <row r="71" spans="1:9">
      <c r="E71" s="7"/>
      <c r="F71" s="19"/>
    </row>
    <row r="72" spans="1:9">
      <c r="A72" s="15" t="s">
        <v>32</v>
      </c>
      <c r="B72" s="12">
        <v>1550000</v>
      </c>
      <c r="C72" s="12">
        <f>B72/1.19</f>
        <v>1302521.0084033613</v>
      </c>
      <c r="D72" s="20" t="e">
        <f>(C72-#REF!)/C72</f>
        <v>#REF!</v>
      </c>
      <c r="E72" s="7"/>
      <c r="F72" s="19">
        <v>0.22</v>
      </c>
      <c r="G72" s="18">
        <f>B72*(1-F72)</f>
        <v>1209000</v>
      </c>
      <c r="H72" s="18">
        <f>G72/1.19</f>
        <v>1015966.3865546219</v>
      </c>
    </row>
    <row r="73" spans="1:9">
      <c r="E73" s="7"/>
    </row>
    <row r="74" spans="1:9" ht="42.75">
      <c r="A74" s="17" t="s">
        <v>8</v>
      </c>
      <c r="B74" s="16" t="s">
        <v>22</v>
      </c>
      <c r="C74" s="16" t="s">
        <v>21</v>
      </c>
      <c r="D74" s="16" t="s">
        <v>5</v>
      </c>
      <c r="E74" s="7"/>
      <c r="F74" s="16" t="s">
        <v>4</v>
      </c>
      <c r="G74" s="16" t="s">
        <v>3</v>
      </c>
      <c r="H74" s="16" t="s">
        <v>2</v>
      </c>
    </row>
    <row r="75" spans="1:9">
      <c r="A75" s="15" t="s">
        <v>31</v>
      </c>
      <c r="B75" s="12">
        <v>27700000</v>
      </c>
      <c r="C75" s="12">
        <f t="shared" ref="C75:C85" si="16">B75/1.19</f>
        <v>23277310.924369749</v>
      </c>
      <c r="D75" s="6" t="e">
        <f>(C75-#REF!)/C75</f>
        <v>#REF!</v>
      </c>
      <c r="E75" s="7"/>
      <c r="F75" s="13"/>
      <c r="G75" s="12">
        <v>20775000</v>
      </c>
      <c r="H75" s="12">
        <f>G75/1.19</f>
        <v>17457983.193277311</v>
      </c>
      <c r="I75" s="1"/>
    </row>
    <row r="76" spans="1:9">
      <c r="A76" s="15" t="s">
        <v>30</v>
      </c>
      <c r="B76" s="12">
        <v>4300000</v>
      </c>
      <c r="C76" s="12">
        <f t="shared" si="16"/>
        <v>3613445.3781512608</v>
      </c>
      <c r="D76" s="6" t="e">
        <f>(C76-#REF!)/C76</f>
        <v>#REF!</v>
      </c>
      <c r="E76" s="7"/>
      <c r="F76" s="13"/>
      <c r="G76" s="12">
        <v>3225000</v>
      </c>
      <c r="H76" s="12">
        <f t="shared" ref="H75:H85" si="17">G76/1.19</f>
        <v>2710084.0336134457</v>
      </c>
      <c r="I76" s="1"/>
    </row>
    <row r="77" spans="1:9">
      <c r="A77" s="15" t="s">
        <v>69</v>
      </c>
      <c r="B77" s="12">
        <v>11550140</v>
      </c>
      <c r="C77" s="12">
        <f t="shared" si="16"/>
        <v>9706000</v>
      </c>
      <c r="D77" s="6" t="e">
        <f>(C77-#REF!)/C77</f>
        <v>#REF!</v>
      </c>
      <c r="E77" s="7"/>
      <c r="F77" s="13"/>
      <c r="G77" s="12">
        <v>8662605</v>
      </c>
      <c r="H77" s="12">
        <f t="shared" si="17"/>
        <v>7279500</v>
      </c>
      <c r="I77" s="1"/>
    </row>
    <row r="78" spans="1:9">
      <c r="A78" s="15" t="s">
        <v>29</v>
      </c>
      <c r="B78" s="12">
        <v>9000000</v>
      </c>
      <c r="C78" s="12">
        <f t="shared" si="16"/>
        <v>7563025.2100840341</v>
      </c>
      <c r="D78" s="6" t="e">
        <f>(C78-#REF!)/C78</f>
        <v>#REF!</v>
      </c>
      <c r="E78" s="7"/>
      <c r="F78" s="13"/>
      <c r="G78" s="12">
        <v>6750000</v>
      </c>
      <c r="H78" s="12">
        <f t="shared" si="17"/>
        <v>5672268.9075630251</v>
      </c>
      <c r="I78" s="1"/>
    </row>
    <row r="79" spans="1:9">
      <c r="A79" s="15" t="s">
        <v>28</v>
      </c>
      <c r="B79" s="12">
        <v>3414824</v>
      </c>
      <c r="C79" s="12">
        <f t="shared" si="16"/>
        <v>2869600</v>
      </c>
      <c r="D79" s="6" t="e">
        <f>(C79-#REF!)/C79</f>
        <v>#REF!</v>
      </c>
      <c r="E79" s="7"/>
      <c r="F79" s="13"/>
      <c r="G79" s="12">
        <v>2561118</v>
      </c>
      <c r="H79" s="12">
        <f t="shared" si="17"/>
        <v>2152200</v>
      </c>
      <c r="I79" s="1"/>
    </row>
    <row r="80" spans="1:9">
      <c r="A80" s="15" t="s">
        <v>70</v>
      </c>
      <c r="B80" s="12">
        <v>5400000</v>
      </c>
      <c r="C80" s="12">
        <f t="shared" si="16"/>
        <v>4537815.1260504201</v>
      </c>
      <c r="D80" s="6" t="e">
        <f>(C80-#REF!)/C80</f>
        <v>#REF!</v>
      </c>
      <c r="E80" s="7"/>
      <c r="F80" s="13"/>
      <c r="G80" s="12">
        <v>4212000</v>
      </c>
      <c r="H80" s="12">
        <f t="shared" si="17"/>
        <v>3539495.7983193281</v>
      </c>
      <c r="I80" s="1"/>
    </row>
    <row r="81" spans="1:9">
      <c r="A81" s="15" t="s">
        <v>27</v>
      </c>
      <c r="B81" s="12">
        <v>14990000</v>
      </c>
      <c r="C81" s="12">
        <f t="shared" si="16"/>
        <v>12596638.655462185</v>
      </c>
      <c r="D81" s="6" t="e">
        <f>(C81-#REF!)/C81</f>
        <v>#REF!</v>
      </c>
      <c r="E81" s="7"/>
      <c r="F81" s="13"/>
      <c r="G81" s="12">
        <v>11692200</v>
      </c>
      <c r="H81" s="12">
        <f t="shared" si="17"/>
        <v>9825378.1512605045</v>
      </c>
      <c r="I81" s="1"/>
    </row>
    <row r="82" spans="1:9">
      <c r="A82" s="15" t="s">
        <v>26</v>
      </c>
      <c r="B82" s="12">
        <v>38490000</v>
      </c>
      <c r="C82" s="12">
        <f t="shared" si="16"/>
        <v>32344537.81512605</v>
      </c>
      <c r="D82" s="6" t="e">
        <f>(C82-#REF!)/C82</f>
        <v>#REF!</v>
      </c>
      <c r="E82" s="7"/>
      <c r="F82" s="13"/>
      <c r="G82" s="12">
        <v>30022200</v>
      </c>
      <c r="H82" s="12">
        <f t="shared" si="17"/>
        <v>25228739.49579832</v>
      </c>
      <c r="I82" s="1"/>
    </row>
    <row r="83" spans="1:9">
      <c r="A83" s="15" t="s">
        <v>25</v>
      </c>
      <c r="B83" s="12">
        <v>35490000</v>
      </c>
      <c r="C83" s="12">
        <f t="shared" si="16"/>
        <v>29823529.411764707</v>
      </c>
      <c r="D83" s="6" t="e">
        <f>(C83-#REF!)/C83</f>
        <v>#REF!</v>
      </c>
      <c r="E83" s="7"/>
      <c r="F83" s="13"/>
      <c r="G83" s="12">
        <v>27682200</v>
      </c>
      <c r="H83" s="12">
        <f t="shared" si="17"/>
        <v>23262352.94117647</v>
      </c>
      <c r="I83" s="1"/>
    </row>
    <row r="84" spans="1:9">
      <c r="A84" s="15" t="s">
        <v>24</v>
      </c>
      <c r="B84" s="12">
        <v>12490000</v>
      </c>
      <c r="C84" s="12">
        <f t="shared" si="16"/>
        <v>10495798.319327731</v>
      </c>
      <c r="D84" s="6" t="e">
        <f>(C84-#REF!)/C84</f>
        <v>#REF!</v>
      </c>
      <c r="E84" s="7"/>
      <c r="F84" s="13"/>
      <c r="G84" s="12">
        <v>9742200</v>
      </c>
      <c r="H84" s="12">
        <f t="shared" si="17"/>
        <v>8186722.6890756302</v>
      </c>
      <c r="I84" s="1"/>
    </row>
    <row r="85" spans="1:9">
      <c r="A85" s="15" t="s">
        <v>23</v>
      </c>
      <c r="B85" s="12">
        <v>3490000</v>
      </c>
      <c r="C85" s="12">
        <f t="shared" si="16"/>
        <v>2932773.1092436975</v>
      </c>
      <c r="D85" s="6" t="e">
        <f>(C85-#REF!)/C85</f>
        <v>#REF!</v>
      </c>
      <c r="E85" s="7"/>
      <c r="F85" s="13"/>
      <c r="G85" s="12">
        <v>2722200</v>
      </c>
      <c r="H85" s="12">
        <f t="shared" si="17"/>
        <v>2287563.0252100839</v>
      </c>
      <c r="I85" s="1"/>
    </row>
    <row r="86" spans="1:9">
      <c r="E86" s="7"/>
    </row>
    <row r="87" spans="1:9" ht="42.75">
      <c r="A87" s="17" t="s">
        <v>8</v>
      </c>
      <c r="B87" s="16" t="s">
        <v>22</v>
      </c>
      <c r="C87" s="16" t="s">
        <v>21</v>
      </c>
      <c r="D87" s="16" t="s">
        <v>5</v>
      </c>
      <c r="E87" s="7"/>
      <c r="F87" s="16" t="s">
        <v>4</v>
      </c>
      <c r="G87" s="16" t="s">
        <v>3</v>
      </c>
      <c r="H87" s="16" t="s">
        <v>2</v>
      </c>
    </row>
    <row r="88" spans="1:9">
      <c r="A88" s="15" t="s">
        <v>20</v>
      </c>
      <c r="B88" s="12">
        <v>372415</v>
      </c>
      <c r="C88" s="12">
        <f t="shared" ref="C88:C94" si="18">B88/1.19</f>
        <v>312953.78151260508</v>
      </c>
      <c r="D88" s="6"/>
      <c r="E88" s="7"/>
      <c r="F88" s="13"/>
      <c r="G88" s="12">
        <v>279311</v>
      </c>
      <c r="H88" s="12">
        <f t="shared" ref="H88:H94" si="19">G88/1.19</f>
        <v>234715.12605042019</v>
      </c>
    </row>
    <row r="89" spans="1:9">
      <c r="A89" s="15" t="s">
        <v>19</v>
      </c>
      <c r="B89" s="12">
        <v>595864</v>
      </c>
      <c r="C89" s="12">
        <f t="shared" si="18"/>
        <v>500726.05042016809</v>
      </c>
      <c r="D89" s="6"/>
      <c r="E89" s="7"/>
      <c r="F89" s="13"/>
      <c r="G89" s="12">
        <v>446898</v>
      </c>
      <c r="H89" s="12">
        <f t="shared" si="19"/>
        <v>375544.53781512607</v>
      </c>
    </row>
    <row r="90" spans="1:9">
      <c r="A90" s="15" t="s">
        <v>18</v>
      </c>
      <c r="B90" s="12">
        <v>476692</v>
      </c>
      <c r="C90" s="12">
        <f t="shared" si="18"/>
        <v>400581.51260504202</v>
      </c>
      <c r="D90" s="14"/>
      <c r="E90" s="7"/>
      <c r="F90" s="13"/>
      <c r="G90" s="12">
        <v>357519</v>
      </c>
      <c r="H90" s="12">
        <f t="shared" si="19"/>
        <v>300436.13445378153</v>
      </c>
    </row>
    <row r="91" spans="1:9">
      <c r="A91" s="15" t="s">
        <v>17</v>
      </c>
      <c r="B91" s="12">
        <v>469392</v>
      </c>
      <c r="C91" s="12">
        <f t="shared" si="18"/>
        <v>394447.05882352946</v>
      </c>
      <c r="D91" s="14"/>
      <c r="E91" s="7"/>
      <c r="F91" s="13"/>
      <c r="G91" s="12">
        <v>352044</v>
      </c>
      <c r="H91" s="12">
        <f t="shared" si="19"/>
        <v>295835.29411764705</v>
      </c>
    </row>
    <row r="92" spans="1:9">
      <c r="A92" s="15" t="s">
        <v>16</v>
      </c>
      <c r="B92" s="12">
        <v>476692</v>
      </c>
      <c r="C92" s="12">
        <f t="shared" si="18"/>
        <v>400581.51260504202</v>
      </c>
      <c r="D92" s="14"/>
      <c r="E92" s="7"/>
      <c r="F92" s="13"/>
      <c r="G92" s="12">
        <v>357519</v>
      </c>
      <c r="H92" s="12">
        <f t="shared" si="19"/>
        <v>300436.13445378153</v>
      </c>
    </row>
    <row r="93" spans="1:9">
      <c r="A93" s="15" t="s">
        <v>15</v>
      </c>
      <c r="B93" s="12">
        <v>428427</v>
      </c>
      <c r="C93" s="12">
        <f t="shared" si="18"/>
        <v>360022.68907563027</v>
      </c>
      <c r="D93" s="14"/>
      <c r="E93" s="7"/>
      <c r="F93" s="13"/>
      <c r="G93" s="12">
        <v>321320</v>
      </c>
      <c r="H93" s="12">
        <f t="shared" si="19"/>
        <v>270016.80672268907</v>
      </c>
    </row>
    <row r="94" spans="1:9">
      <c r="A94" s="15" t="s">
        <v>14</v>
      </c>
      <c r="B94" s="12">
        <v>305381</v>
      </c>
      <c r="C94" s="12">
        <f t="shared" si="18"/>
        <v>256622.68907563027</v>
      </c>
      <c r="D94" s="14"/>
      <c r="E94" s="7"/>
      <c r="F94" s="13"/>
      <c r="G94" s="12">
        <v>229036</v>
      </c>
      <c r="H94" s="12">
        <f t="shared" si="19"/>
        <v>192467.22689075631</v>
      </c>
    </row>
    <row r="95" spans="1:9">
      <c r="E95" s="7"/>
    </row>
    <row r="96" spans="1:9">
      <c r="E96" s="7"/>
    </row>
    <row r="97" spans="1:8" ht="42.75">
      <c r="A97" s="10" t="s">
        <v>8</v>
      </c>
      <c r="B97" s="10" t="s">
        <v>7</v>
      </c>
      <c r="C97" s="10" t="s">
        <v>6</v>
      </c>
      <c r="D97" s="9" t="s">
        <v>5</v>
      </c>
      <c r="E97" s="7"/>
      <c r="F97" s="9" t="s">
        <v>4</v>
      </c>
      <c r="G97" s="9" t="s">
        <v>3</v>
      </c>
      <c r="H97" s="9" t="s">
        <v>2</v>
      </c>
    </row>
    <row r="98" spans="1:8">
      <c r="A98" s="8" t="s">
        <v>13</v>
      </c>
      <c r="B98" s="4">
        <v>54000000</v>
      </c>
      <c r="C98" s="4">
        <f>B98/1.19</f>
        <v>45378151.260504201</v>
      </c>
      <c r="D98" s="6" t="e">
        <f>(C98-#REF!)/C98</f>
        <v>#REF!</v>
      </c>
      <c r="E98" s="7"/>
      <c r="F98" s="6">
        <v>0.22</v>
      </c>
      <c r="G98" s="5">
        <f>B98*(1-F98)</f>
        <v>42120000</v>
      </c>
      <c r="H98" s="4">
        <f>G98/1.19</f>
        <v>35394957.983193278</v>
      </c>
    </row>
    <row r="99" spans="1:8">
      <c r="A99" s="8" t="s">
        <v>12</v>
      </c>
      <c r="B99" s="4">
        <v>8280000</v>
      </c>
      <c r="C99" s="4">
        <f>B99/1.19</f>
        <v>6957983.1932773115</v>
      </c>
      <c r="D99" s="6" t="e">
        <f>(C99-#REF!)/C99</f>
        <v>#REF!</v>
      </c>
      <c r="E99" s="7"/>
      <c r="F99" s="6">
        <v>0.22</v>
      </c>
      <c r="G99" s="5">
        <f>B99*(1-F99)</f>
        <v>6458400</v>
      </c>
      <c r="H99" s="4">
        <f>G99/1.19</f>
        <v>5427226.8907563025</v>
      </c>
    </row>
    <row r="100" spans="1:8">
      <c r="A100" s="8" t="s">
        <v>11</v>
      </c>
      <c r="B100" s="4">
        <v>7200000</v>
      </c>
      <c r="C100" s="4">
        <f>B100/1.19</f>
        <v>6050420.1680672271</v>
      </c>
      <c r="D100" s="6" t="e">
        <f>(C100-#REF!)/C100</f>
        <v>#REF!</v>
      </c>
      <c r="E100" s="7"/>
      <c r="F100" s="6">
        <v>0.22</v>
      </c>
      <c r="G100" s="5">
        <f>B100*(1-F100)</f>
        <v>5616000</v>
      </c>
      <c r="H100" s="4">
        <f>G100/1.19</f>
        <v>4719327.7310924372</v>
      </c>
    </row>
    <row r="101" spans="1:8">
      <c r="A101" s="8" t="s">
        <v>10</v>
      </c>
      <c r="B101" s="4">
        <v>18000000</v>
      </c>
      <c r="C101" s="4">
        <f>B101/1.19</f>
        <v>15126050.420168068</v>
      </c>
      <c r="D101" s="6" t="e">
        <f>(C101-#REF!)/C101</f>
        <v>#REF!</v>
      </c>
      <c r="E101" s="7"/>
      <c r="F101" s="6">
        <v>0.22</v>
      </c>
      <c r="G101" s="5">
        <f>B101*(1-F101)</f>
        <v>14040000</v>
      </c>
      <c r="H101" s="4">
        <f>G101/1.19</f>
        <v>11798319.327731093</v>
      </c>
    </row>
    <row r="102" spans="1:8">
      <c r="A102" s="8" t="s">
        <v>9</v>
      </c>
      <c r="B102" s="4">
        <v>2880000</v>
      </c>
      <c r="C102" s="4">
        <f>B102/1.19</f>
        <v>2420168.0672268909</v>
      </c>
      <c r="D102" s="6" t="e">
        <f>(C102-#REF!)/C102</f>
        <v>#REF!</v>
      </c>
      <c r="E102" s="7"/>
      <c r="F102" s="6">
        <v>0.22</v>
      </c>
      <c r="G102" s="5">
        <f>B102*(1-F102)</f>
        <v>2246400</v>
      </c>
      <c r="H102" s="4">
        <f>G102/1.19</f>
        <v>1887731.0924369749</v>
      </c>
    </row>
    <row r="103" spans="1:8">
      <c r="C103"/>
      <c r="E103" s="7"/>
      <c r="F103" s="11"/>
      <c r="G103" s="1"/>
    </row>
    <row r="104" spans="1:8">
      <c r="C104"/>
      <c r="E104" s="7"/>
      <c r="F104" s="11"/>
      <c r="G104" s="1"/>
    </row>
    <row r="105" spans="1:8" ht="42.75">
      <c r="A105" s="10" t="s">
        <v>8</v>
      </c>
      <c r="B105" s="10" t="s">
        <v>7</v>
      </c>
      <c r="C105" s="10" t="s">
        <v>6</v>
      </c>
      <c r="D105" s="9" t="s">
        <v>5</v>
      </c>
      <c r="E105" s="7"/>
      <c r="F105" s="9" t="s">
        <v>4</v>
      </c>
      <c r="G105" s="9" t="s">
        <v>3</v>
      </c>
      <c r="H105" s="9" t="s">
        <v>2</v>
      </c>
    </row>
    <row r="106" spans="1:8">
      <c r="A106" s="8" t="s">
        <v>1</v>
      </c>
      <c r="B106" s="4">
        <v>5760000</v>
      </c>
      <c r="C106" s="4">
        <f>B106/1.19</f>
        <v>4840336.1344537819</v>
      </c>
      <c r="D106" s="6" t="e">
        <f>(C106-#REF!)/C106</f>
        <v>#REF!</v>
      </c>
      <c r="E106" s="7"/>
      <c r="F106" s="6">
        <v>0.22</v>
      </c>
      <c r="G106" s="5">
        <f>B106*(1-F106)</f>
        <v>4492800</v>
      </c>
      <c r="H106" s="4">
        <f>G106/1.19</f>
        <v>3775462.1848739497</v>
      </c>
    </row>
    <row r="107" spans="1:8">
      <c r="A107" s="8" t="s">
        <v>0</v>
      </c>
      <c r="B107" s="4">
        <v>2016000</v>
      </c>
      <c r="C107" s="4">
        <f>B107/1.19</f>
        <v>1694117.6470588236</v>
      </c>
      <c r="D107" s="6" t="e">
        <f>(C107-#REF!)/C107</f>
        <v>#REF!</v>
      </c>
      <c r="E107" s="7"/>
      <c r="F107" s="6">
        <v>0.22</v>
      </c>
      <c r="G107" s="5">
        <f>B107*(1-F107)</f>
        <v>1572480</v>
      </c>
      <c r="H107" s="4">
        <f>G107/1.19</f>
        <v>1321411.7647058824</v>
      </c>
    </row>
    <row r="108" spans="1:8">
      <c r="E108" s="3"/>
    </row>
    <row r="109" spans="1:8">
      <c r="E109" s="3"/>
    </row>
    <row r="110" spans="1:8">
      <c r="E110" s="3"/>
    </row>
    <row r="111" spans="1:8">
      <c r="B111" s="2"/>
    </row>
    <row r="112" spans="1:8">
      <c r="B112" s="2"/>
    </row>
    <row r="113" spans="2:2">
      <c r="B1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COTIZADOR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2026-08-08T14:41:41Z</dcterms:created>
  <dcterms:modified xsi:type="dcterms:W3CDTF">2026-09-04T20:20:28Z</dcterms:modified>
</cp:coreProperties>
</file>