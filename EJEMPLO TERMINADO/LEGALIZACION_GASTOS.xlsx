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Agropaisa\Usuario\Descargas\FACTURAS 2\Terminado\"/>
    </mc:Choice>
  </mc:AlternateContent>
  <bookViews>
    <workbookView xWindow="0" yWindow="0" windowWidth="19200" windowHeight="6930"/>
  </bookViews>
  <sheets>
    <sheet name="S-CON-FO-02" sheetId="2" r:id="rId1"/>
  </sheets>
  <calcPr calcId="162913"/>
</workbook>
</file>

<file path=xl/calcChain.xml><?xml version="1.0" encoding="utf-8"?>
<calcChain xmlns="http://schemas.openxmlformats.org/spreadsheetml/2006/main">
  <c r="I53" i="2" l="1"/>
  <c r="I52" i="2"/>
  <c r="I51" i="2"/>
  <c r="I50" i="2"/>
  <c r="I54" i="2" s="1"/>
  <c r="I58" i="2" s="1"/>
  <c r="I49" i="2"/>
</calcChain>
</file>

<file path=xl/comments1.xml><?xml version="1.0" encoding="utf-8"?>
<comments xmlns="http://schemas.openxmlformats.org/spreadsheetml/2006/main">
  <authors>
    <author>OpenAI</author>
  </authors>
  <commentList>
    <comment ref="E24" authorId="0" shapeId="0">
      <text>
        <r>
          <rPr>
            <sz val="11"/>
            <color theme="1"/>
            <rFont val="Calibri"/>
          </rPr>
          <t>La foto asociada a la FACTURA 10 muestra fecha 27/08/2026 y factura No. 9301, aunque el listado del documento la identifica como archivo del 25/08/2026.</t>
        </r>
      </text>
    </comment>
    <comment ref="E27" authorId="0" shapeId="0">
      <text>
        <r>
          <rPr>
            <sz val="11"/>
            <color theme="1"/>
            <rFont val="Calibri"/>
          </rPr>
          <t>La foto asociada a la FACTURA 12 corresponde a GMFE-3338, NIT 901959475 (Moratto), aunque el listado del documento la identifica con NIT 1116800241.</t>
        </r>
      </text>
    </comment>
  </commentList>
</comments>
</file>

<file path=xl/sharedStrings.xml><?xml version="1.0" encoding="utf-8"?>
<sst xmlns="http://schemas.openxmlformats.org/spreadsheetml/2006/main" count="103" uniqueCount="77">
  <si>
    <t>FORMATO DE LEGALIZACION DE GASTOS</t>
  </si>
  <si>
    <t>Elaboró:
Jefe de Contabilidad</t>
  </si>
  <si>
    <t>Revisó: 
Gerente Administrativa y financiera</t>
  </si>
  <si>
    <t xml:space="preserve">Aprobó: 
Gerente Administrativa </t>
  </si>
  <si>
    <t>NOMBRE</t>
  </si>
  <si>
    <t>IDENTIFICACION:</t>
  </si>
  <si>
    <t>CARGO</t>
  </si>
  <si>
    <t>SEMANA</t>
  </si>
  <si>
    <t>CIUDAD Y FECHA</t>
  </si>
  <si>
    <t>CENTRO DE COSTO:</t>
  </si>
  <si>
    <t>#</t>
  </si>
  <si>
    <t>FECHA</t>
  </si>
  <si>
    <t>NO. FACTURA</t>
  </si>
  <si>
    <t xml:space="preserve">NIT </t>
  </si>
  <si>
    <t>NOMBRE PROVEEDOR</t>
  </si>
  <si>
    <t>CONCEPTO</t>
  </si>
  <si>
    <t>VALOR</t>
  </si>
  <si>
    <t xml:space="preserve"> Total de Peajes y Parqueadero</t>
  </si>
  <si>
    <t>Total de  Hotel</t>
  </si>
  <si>
    <t>Total de  Alimentacion</t>
  </si>
  <si>
    <t>Total de  Otros</t>
  </si>
  <si>
    <t>Total gastos</t>
  </si>
  <si>
    <t>Valor fondo o anticipo</t>
  </si>
  <si>
    <t xml:space="preserve">(-) Efectivo </t>
  </si>
  <si>
    <t>Valor a Legalizar</t>
  </si>
  <si>
    <t>Valor a reintegrar</t>
  </si>
  <si>
    <t>RESPONSABLE DEL FONDO O ANTICIPO:</t>
  </si>
  <si>
    <t>REVISADO:</t>
  </si>
  <si>
    <t>APROBADO:</t>
  </si>
  <si>
    <t>S-CON-FO-02.6</t>
  </si>
  <si>
    <t>Versión: 2.0</t>
  </si>
  <si>
    <t>Actualización: 13/10/2023</t>
  </si>
  <si>
    <t>Sebastian Rengifo Valencia</t>
  </si>
  <si>
    <t>Especialista de zona</t>
  </si>
  <si>
    <t xml:space="preserve">TIPO DE LEGALIZACION:      </t>
  </si>
  <si>
    <t xml:space="preserve">FONDO CAJA MENOR: </t>
  </si>
  <si>
    <t xml:space="preserve"> FONDO DE GASTOS: </t>
  </si>
  <si>
    <t>x</t>
  </si>
  <si>
    <t>ANTICIPO:</t>
  </si>
  <si>
    <t>DESCRIPCION C.O.</t>
  </si>
  <si>
    <t>MEDIO  PAGO</t>
  </si>
  <si>
    <t>Trasporte</t>
  </si>
  <si>
    <t>Transferencia</t>
  </si>
  <si>
    <t>Noaplica</t>
  </si>
  <si>
    <t>DIDI</t>
  </si>
  <si>
    <t>OTROS</t>
  </si>
  <si>
    <t>Alimentacion Restaurante</t>
  </si>
  <si>
    <t>Efectivo</t>
  </si>
  <si>
    <t>1128624655</t>
  </si>
  <si>
    <t>AMAZILIA GASTROBAR</t>
  </si>
  <si>
    <t>ALIMENTACION</t>
  </si>
  <si>
    <t>20715805-4</t>
  </si>
  <si>
    <t>PANADERIA LOS RESOBADOS</t>
  </si>
  <si>
    <t>FE-8</t>
  </si>
  <si>
    <t>1053825854</t>
  </si>
  <si>
    <t>PESCADOR VANEGAS OLIVER ALEXANDER</t>
  </si>
  <si>
    <t>Hotel</t>
  </si>
  <si>
    <t>FENE-7</t>
  </si>
  <si>
    <t>1128624899</t>
  </si>
  <si>
    <t>ACEVEDO AGUIRRE ERIKA VIVIANA</t>
  </si>
  <si>
    <t>HOTEL</t>
  </si>
  <si>
    <t>Combustible</t>
  </si>
  <si>
    <t>Tarjeta Crédito</t>
  </si>
  <si>
    <t>NGRA-361418</t>
  </si>
  <si>
    <t>811009788</t>
  </si>
  <si>
    <t>DISTRACOM S.A.</t>
  </si>
  <si>
    <t>NGRA-361879</t>
  </si>
  <si>
    <t>811009789</t>
  </si>
  <si>
    <t>Transferencia Débito</t>
  </si>
  <si>
    <t>FE-23</t>
  </si>
  <si>
    <t>1016069441-3</t>
  </si>
  <si>
    <t>EL MUSEO RESTAURANTE BAR</t>
  </si>
  <si>
    <t>ALIMENTACIÓN</t>
  </si>
  <si>
    <t>Autolavado</t>
  </si>
  <si>
    <t>1TP-407</t>
  </si>
  <si>
    <t>901464625</t>
  </si>
  <si>
    <t>TUPARQUEO.CO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</si>
</sst>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6" formatCode="dd/mm/yyyy"/>
  </numFmts>
  <fonts count="10" x14ac:knownFonts="1">
    <font>
      <sz val="11"/>
      <color theme="1"/>
      <name val="Calibri"/>
    </font>
    <font>
      <sz val="11"/>
      <color theme="1"/>
      <name val="Arial"/>
    </font>
    <font>
      <sz val="9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8"/>
      <color theme="1"/>
      <name val="Arial"/>
    </font>
    <font>
      <sz val="11"/>
      <name val="Arial"/>
    </font>
    <font>
      <b/>
      <sz val="16"/>
      <color theme="1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6" tint="0.59996337778862885"/>
        <bgColor indexed="65"/>
      </patternFill>
    </fill>
  </fills>
  <borders count="5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/>
  </cellStyleXfs>
  <cellXfs count="101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1" fillId="2" borderId="31" xfId="0" applyFont="1" applyFill="1" applyBorder="1" applyAlignment="1">
      <alignment vertical="top"/>
    </xf>
    <xf numFmtId="0" fontId="6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64" fontId="1" fillId="5" borderId="40" xfId="1" applyNumberFormat="1" applyFont="1" applyFill="1" applyBorder="1" applyAlignment="1">
      <alignment horizontal="center" vertical="center"/>
    </xf>
    <xf numFmtId="164" fontId="5" fillId="2" borderId="26" xfId="1" applyNumberFormat="1" applyFont="1" applyFill="1" applyBorder="1" applyAlignment="1">
      <alignment horizontal="center" vertical="center"/>
    </xf>
    <xf numFmtId="164" fontId="5" fillId="2" borderId="27" xfId="1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164" fontId="5" fillId="5" borderId="29" xfId="1" applyNumberFormat="1" applyFont="1" applyFill="1" applyBorder="1" applyAlignment="1">
      <alignment horizontal="center" vertical="center"/>
    </xf>
    <xf numFmtId="164" fontId="5" fillId="2" borderId="28" xfId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164" fontId="5" fillId="2" borderId="25" xfId="1" applyNumberFormat="1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1" fillId="4" borderId="38" xfId="0" applyNumberFormat="1" applyFont="1" applyFill="1" applyBorder="1" applyAlignment="1">
      <alignment horizontal="center" vertical="center"/>
    </xf>
    <xf numFmtId="14" fontId="5" fillId="2" borderId="16" xfId="0" applyNumberFormat="1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0" fillId="0" borderId="0" xfId="0"/>
    <xf numFmtId="0" fontId="4" fillId="0" borderId="0" xfId="0" applyFont="1"/>
    <xf numFmtId="166" fontId="0" fillId="0" borderId="4" xfId="0" applyNumberFormat="1" applyFont="1" applyFill="1" applyBorder="1" applyAlignment="1">
      <alignment horizontal="center" vertical="center" wrapText="1"/>
    </xf>
    <xf numFmtId="166" fontId="9" fillId="0" borderId="49" xfId="0" applyNumberFormat="1" applyFont="1" applyFill="1" applyBorder="1" applyAlignment="1">
      <alignment horizontal="right" vertical="top"/>
    </xf>
    <xf numFmtId="166" fontId="0" fillId="0" borderId="4" xfId="0" applyNumberFormat="1" applyFont="1" applyFill="1" applyBorder="1" applyAlignment="1">
      <alignment vertical="center"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13" xfId="0" applyBorder="1"/>
    <xf numFmtId="0" fontId="2" fillId="4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18" xfId="0" applyFont="1" applyFill="1" applyBorder="1" applyAlignment="1">
      <alignment horizontal="right" vertical="center"/>
    </xf>
    <xf numFmtId="0" fontId="0" fillId="0" borderId="9" xfId="0" applyBorder="1"/>
    <xf numFmtId="0" fontId="0" fillId="0" borderId="10" xfId="0" applyBorder="1"/>
    <xf numFmtId="0" fontId="0" fillId="0" borderId="46" xfId="0" applyBorder="1"/>
    <xf numFmtId="0" fontId="0" fillId="0" borderId="16" xfId="0" applyBorder="1"/>
    <xf numFmtId="0" fontId="5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right" vertical="center"/>
    </xf>
    <xf numFmtId="0" fontId="0" fillId="0" borderId="15" xfId="0" applyBorder="1"/>
    <xf numFmtId="0" fontId="0" fillId="0" borderId="33" xfId="0" applyBorder="1"/>
    <xf numFmtId="0" fontId="0" fillId="0" borderId="47" xfId="0" applyBorder="1"/>
    <xf numFmtId="0" fontId="0" fillId="0" borderId="48" xfId="0" applyBorder="1"/>
    <xf numFmtId="0" fontId="2" fillId="4" borderId="8" xfId="0" applyFont="1" applyFill="1" applyBorder="1" applyAlignment="1">
      <alignment horizontal="center" vertical="center"/>
    </xf>
    <xf numFmtId="0" fontId="0" fillId="0" borderId="45" xfId="0" applyBorder="1"/>
    <xf numFmtId="0" fontId="0" fillId="0" borderId="39" xfId="0" applyBorder="1"/>
    <xf numFmtId="0" fontId="5" fillId="2" borderId="17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left" vertical="top"/>
    </xf>
    <xf numFmtId="0" fontId="0" fillId="0" borderId="32" xfId="0" applyBorder="1"/>
    <xf numFmtId="0" fontId="1" fillId="2" borderId="41" xfId="0" applyFont="1" applyFill="1" applyBorder="1" applyAlignment="1">
      <alignment horizontal="left" vertical="top"/>
    </xf>
    <xf numFmtId="0" fontId="2" fillId="4" borderId="25" xfId="0" applyFont="1" applyFill="1" applyBorder="1" applyAlignment="1">
      <alignment horizontal="center" vertical="center"/>
    </xf>
    <xf numFmtId="0" fontId="0" fillId="0" borderId="30" xfId="0" applyBorder="1"/>
    <xf numFmtId="0" fontId="1" fillId="2" borderId="51" xfId="0" applyFont="1" applyFill="1" applyBorder="1" applyAlignment="1">
      <alignment horizontal="center" vertical="top"/>
    </xf>
    <xf numFmtId="0" fontId="0" fillId="0" borderId="34" xfId="0" applyBorder="1"/>
    <xf numFmtId="0" fontId="0" fillId="0" borderId="36" xfId="0" applyBorder="1"/>
    <xf numFmtId="0" fontId="1" fillId="2" borderId="37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/>
    </xf>
    <xf numFmtId="0" fontId="0" fillId="0" borderId="21" xfId="0" applyBorder="1"/>
    <xf numFmtId="0" fontId="2" fillId="4" borderId="26" xfId="0" applyFont="1" applyFill="1" applyBorder="1" applyAlignment="1">
      <alignment horizontal="center" vertical="center"/>
    </xf>
    <xf numFmtId="0" fontId="0" fillId="0" borderId="29" xfId="0" applyBorder="1"/>
    <xf numFmtId="0" fontId="1" fillId="2" borderId="36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4" fillId="0" borderId="0" xfId="0" applyFont="1"/>
    <xf numFmtId="0" fontId="1" fillId="2" borderId="35" xfId="0" applyFont="1" applyFill="1" applyBorder="1" applyAlignment="1">
      <alignment horizontal="center" vertical="top"/>
    </xf>
    <xf numFmtId="0" fontId="0" fillId="0" borderId="35" xfId="0" applyBorder="1"/>
    <xf numFmtId="0" fontId="2" fillId="4" borderId="27" xfId="0" applyFont="1" applyFill="1" applyBorder="1" applyAlignment="1">
      <alignment horizontal="center" vertical="center"/>
    </xf>
    <xf numFmtId="0" fontId="0" fillId="0" borderId="28" xfId="0" applyBorder="1"/>
    <xf numFmtId="0" fontId="8" fillId="2" borderId="4" xfId="0" applyFont="1" applyFill="1" applyBorder="1" applyAlignment="1">
      <alignment horizontal="center" vertical="center" wrapText="1"/>
    </xf>
  </cellXfs>
  <cellStyles count="2">
    <cellStyle name="Moned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b0d29c3dab6f4a7f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81643</xdr:rowOff>
    </xdr:from>
    <xdr:to>
      <xdr:col>1</xdr:col>
      <xdr:colOff>2148918</xdr:colOff>
      <xdr:row>2</xdr:row>
      <xdr:rowOff>149678</xdr:rowOff>
    </xdr:to>
    <xdr:pic>
      <xdr:nvPicPr>
        <xdr:cNvPr id="2" name="/xl/media/image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1799167</xdr:colOff>
      <xdr:row>59</xdr:row>
      <xdr:rowOff>4429</xdr:rowOff>
    </xdr:from>
    <xdr:to>
      <xdr:col>3</xdr:col>
      <xdr:colOff>484716</xdr:colOff>
      <xdr:row>60</xdr:row>
      <xdr:rowOff>380375</xdr:rowOff>
    </xdr:to>
    <xdr:pic>
      <xdr:nvPicPr>
        <xdr:cNvPr id="3" name="/xl/media/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1441450</xdr:colOff>
      <xdr:row>19</xdr:row>
      <xdr:rowOff>158750</xdr:rowOff>
    </xdr:to>
    <xdr:sp macro="" textlink="">
      <xdr:nvSpPr>
        <xdr:cNvPr id="2051" name="Text Box 3" hidden="1"/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uario" id="{87C53B98-4300-138F-60E4-127C10D44AB0}"/>
  <xltc:person displayName="OpenAI" id="{CE32D5A2-EDB5-86E6-CBA2-777BB5B7E739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1"/>
  <sheetViews>
    <sheetView showGridLines="0" tabSelected="1" topLeftCell="A6" zoomScale="60" zoomScaleNormal="60" workbookViewId="0">
      <selection sqref="A1:C3"/>
    </sheetView>
  </sheetViews>
  <sheetFormatPr baseColWidth="10" defaultColWidth="11.453125" defaultRowHeight="14.5" x14ac:dyDescent="0.35"/>
  <cols>
    <col min="1" max="1" width="3.26953125" style="1" customWidth="1"/>
    <col min="2" max="2" width="39.90625" style="1" customWidth="1"/>
    <col min="3" max="3" width="27.08984375" style="1" customWidth="1"/>
    <col min="4" max="4" width="27.90625" style="1" customWidth="1"/>
    <col min="5" max="5" width="22.54296875" style="1" customWidth="1"/>
    <col min="6" max="6" width="28.453125" style="1" customWidth="1"/>
    <col min="7" max="7" width="47.54296875" style="1" customWidth="1"/>
    <col min="8" max="8" width="37.90625" style="1" customWidth="1"/>
    <col min="9" max="9" width="22.26953125" style="1" customWidth="1"/>
    <col min="10" max="10" width="17.26953125" style="6" customWidth="1"/>
    <col min="11" max="13" width="11.453125" style="6" customWidth="1"/>
    <col min="14" max="16384" width="11.453125" style="6"/>
  </cols>
  <sheetData>
    <row r="1" spans="1:10" s="47" customFormat="1" ht="17.25" customHeight="1" x14ac:dyDescent="0.35">
      <c r="A1" s="77"/>
      <c r="B1" s="73"/>
      <c r="C1" s="64"/>
      <c r="D1" s="100" t="s">
        <v>0</v>
      </c>
      <c r="E1" s="73"/>
      <c r="F1" s="73"/>
      <c r="G1" s="73"/>
      <c r="H1" s="64"/>
      <c r="I1" s="30" t="s">
        <v>29</v>
      </c>
    </row>
    <row r="2" spans="1:10" s="47" customFormat="1" ht="17.25" customHeight="1" x14ac:dyDescent="0.35">
      <c r="A2" s="69"/>
      <c r="B2" s="95"/>
      <c r="C2" s="55"/>
      <c r="D2" s="69"/>
      <c r="E2" s="95"/>
      <c r="F2" s="95"/>
      <c r="G2" s="95"/>
      <c r="H2" s="55"/>
      <c r="I2" s="9" t="s">
        <v>30</v>
      </c>
    </row>
    <row r="3" spans="1:10" s="47" customFormat="1" ht="17.25" customHeight="1" x14ac:dyDescent="0.35">
      <c r="A3" s="70"/>
      <c r="B3" s="74"/>
      <c r="C3" s="71"/>
      <c r="D3" s="70"/>
      <c r="E3" s="74"/>
      <c r="F3" s="74"/>
      <c r="G3" s="74"/>
      <c r="H3" s="71"/>
      <c r="I3" s="9" t="s">
        <v>31</v>
      </c>
    </row>
    <row r="4" spans="1:10" s="47" customFormat="1" ht="27" customHeight="1" x14ac:dyDescent="0.35">
      <c r="A4" s="88" t="s">
        <v>1</v>
      </c>
      <c r="B4" s="60"/>
      <c r="C4" s="51"/>
      <c r="D4" s="88" t="s">
        <v>2</v>
      </c>
      <c r="E4" s="60"/>
      <c r="F4" s="60"/>
      <c r="G4" s="60"/>
      <c r="H4" s="51"/>
      <c r="I4" s="31" t="s">
        <v>3</v>
      </c>
    </row>
    <row r="5" spans="1:10" s="47" customFormat="1" ht="6" customHeight="1" x14ac:dyDescent="0.35">
      <c r="A5" s="18"/>
      <c r="B5" s="18"/>
      <c r="C5" s="18"/>
      <c r="D5" s="18"/>
      <c r="E5" s="18"/>
      <c r="F5" s="18"/>
      <c r="G5" s="18"/>
      <c r="H5" s="18"/>
      <c r="I5" s="18"/>
    </row>
    <row r="6" spans="1:10" s="7" customFormat="1" ht="18.75" customHeight="1" x14ac:dyDescent="0.35">
      <c r="A6" s="75" t="s">
        <v>4</v>
      </c>
      <c r="B6" s="62"/>
      <c r="C6" s="63"/>
      <c r="D6" s="41" t="s">
        <v>32</v>
      </c>
      <c r="E6" s="72"/>
      <c r="F6" s="63"/>
      <c r="G6" s="8" t="s">
        <v>5</v>
      </c>
      <c r="H6" s="82"/>
      <c r="I6" s="83"/>
    </row>
    <row r="7" spans="1:10" s="7" customFormat="1" ht="18.75" customHeight="1" x14ac:dyDescent="0.35">
      <c r="A7" s="66" t="s">
        <v>6</v>
      </c>
      <c r="B7" s="60"/>
      <c r="C7" s="51"/>
      <c r="D7" s="42" t="s">
        <v>33</v>
      </c>
      <c r="E7" s="59"/>
      <c r="F7" s="51"/>
      <c r="G7" s="9" t="s">
        <v>7</v>
      </c>
      <c r="H7" s="91"/>
      <c r="I7" s="92"/>
    </row>
    <row r="8" spans="1:10" s="7" customFormat="1" ht="18.75" customHeight="1" x14ac:dyDescent="0.35">
      <c r="A8" s="76" t="s">
        <v>8</v>
      </c>
      <c r="B8" s="68"/>
      <c r="C8" s="65"/>
      <c r="D8" s="38">
        <v>46273</v>
      </c>
      <c r="E8" s="78"/>
      <c r="F8" s="65"/>
      <c r="G8" s="10" t="s">
        <v>9</v>
      </c>
      <c r="H8" s="98"/>
      <c r="I8" s="99"/>
    </row>
    <row r="9" spans="1:10" s="7" customFormat="1" ht="25" customHeight="1" x14ac:dyDescent="0.35">
      <c r="A9" s="24" t="s">
        <v>34</v>
      </c>
      <c r="B9" s="19"/>
      <c r="C9" s="19"/>
      <c r="D9" s="19"/>
      <c r="E9" s="89" t="s">
        <v>35</v>
      </c>
      <c r="F9" s="90"/>
      <c r="G9" s="25" t="s">
        <v>36</v>
      </c>
      <c r="H9" s="19" t="s">
        <v>37</v>
      </c>
      <c r="I9" s="20" t="s">
        <v>38</v>
      </c>
    </row>
    <row r="10" spans="1:10" s="2" customFormat="1" ht="21.75" customHeight="1" x14ac:dyDescent="0.35">
      <c r="A10" s="14" t="s">
        <v>10</v>
      </c>
      <c r="B10" s="15" t="s">
        <v>39</v>
      </c>
      <c r="C10" s="15" t="s">
        <v>11</v>
      </c>
      <c r="D10" s="15" t="s">
        <v>40</v>
      </c>
      <c r="E10" s="15" t="s">
        <v>12</v>
      </c>
      <c r="F10" s="15" t="s">
        <v>13</v>
      </c>
      <c r="G10" s="17" t="s">
        <v>14</v>
      </c>
      <c r="H10" s="15" t="s">
        <v>15</v>
      </c>
      <c r="I10" s="16" t="s">
        <v>16</v>
      </c>
    </row>
    <row r="11" spans="1:10" s="13" customFormat="1" ht="42.5" customHeight="1" x14ac:dyDescent="0.35">
      <c r="A11" s="12">
        <v>1</v>
      </c>
      <c r="B11" s="44" t="s">
        <v>41</v>
      </c>
      <c r="C11" s="48">
        <v>46275</v>
      </c>
      <c r="D11" s="44" t="s">
        <v>42</v>
      </c>
      <c r="E11" s="44">
        <v>558</v>
      </c>
      <c r="F11" s="44" t="s">
        <v>43</v>
      </c>
      <c r="G11" s="44" t="s">
        <v>44</v>
      </c>
      <c r="H11" s="44" t="s">
        <v>45</v>
      </c>
      <c r="I11" s="32">
        <v>43300</v>
      </c>
      <c r="J11" s="45"/>
    </row>
    <row r="12" spans="1:10" s="13" customFormat="1" ht="40" customHeight="1" x14ac:dyDescent="0.35">
      <c r="A12" s="12">
        <v>2</v>
      </c>
      <c r="B12" s="44" t="s">
        <v>46</v>
      </c>
      <c r="C12" s="48">
        <v>46275</v>
      </c>
      <c r="D12" s="44" t="s">
        <v>47</v>
      </c>
      <c r="E12" s="44">
        <v>8514</v>
      </c>
      <c r="F12" s="44" t="s">
        <v>48</v>
      </c>
      <c r="G12" s="44" t="s">
        <v>49</v>
      </c>
      <c r="H12" s="44" t="s">
        <v>50</v>
      </c>
      <c r="I12" s="32">
        <v>87300</v>
      </c>
    </row>
    <row r="13" spans="1:10" s="13" customFormat="1" ht="30" customHeight="1" x14ac:dyDescent="0.35">
      <c r="A13" s="39">
        <v>3</v>
      </c>
      <c r="B13" s="44" t="s">
        <v>46</v>
      </c>
      <c r="C13" s="48">
        <v>46275</v>
      </c>
      <c r="D13" s="44" t="s">
        <v>47</v>
      </c>
      <c r="E13" s="44">
        <v>8532</v>
      </c>
      <c r="F13" s="44" t="s">
        <v>48</v>
      </c>
      <c r="G13" s="44" t="s">
        <v>49</v>
      </c>
      <c r="H13" s="44" t="s">
        <v>50</v>
      </c>
      <c r="I13" s="32">
        <v>38000</v>
      </c>
    </row>
    <row r="14" spans="1:10" s="13" customFormat="1" ht="30" customHeight="1" x14ac:dyDescent="0.35">
      <c r="A14" s="12">
        <v>4</v>
      </c>
      <c r="B14" s="44" t="s">
        <v>46</v>
      </c>
      <c r="C14" s="48">
        <v>46276</v>
      </c>
      <c r="D14" s="44" t="s">
        <v>47</v>
      </c>
      <c r="E14" s="44">
        <v>8560</v>
      </c>
      <c r="F14" s="44" t="s">
        <v>48</v>
      </c>
      <c r="G14" s="44" t="s">
        <v>49</v>
      </c>
      <c r="H14" s="44" t="s">
        <v>50</v>
      </c>
      <c r="I14" s="32">
        <v>124300</v>
      </c>
    </row>
    <row r="15" spans="1:10" s="13" customFormat="1" ht="35" customHeight="1" x14ac:dyDescent="0.35">
      <c r="A15" s="12">
        <v>5</v>
      </c>
      <c r="B15" s="44" t="s">
        <v>46</v>
      </c>
      <c r="C15" s="48">
        <v>46277</v>
      </c>
      <c r="D15" s="44" t="s">
        <v>47</v>
      </c>
      <c r="E15" s="44" t="s">
        <v>43</v>
      </c>
      <c r="F15" s="44" t="s">
        <v>51</v>
      </c>
      <c r="G15" s="44" t="s">
        <v>52</v>
      </c>
      <c r="H15" s="44" t="s">
        <v>50</v>
      </c>
      <c r="I15" s="32">
        <v>76800</v>
      </c>
    </row>
    <row r="16" spans="1:10" s="13" customFormat="1" ht="29" customHeight="1" x14ac:dyDescent="0.35">
      <c r="A16" s="12">
        <v>6</v>
      </c>
      <c r="B16" s="44" t="s">
        <v>46</v>
      </c>
      <c r="C16" s="48">
        <v>46279</v>
      </c>
      <c r="D16" s="44" t="s">
        <v>47</v>
      </c>
      <c r="E16" s="44" t="s">
        <v>53</v>
      </c>
      <c r="F16" s="44" t="s">
        <v>54</v>
      </c>
      <c r="G16" s="44" t="s">
        <v>55</v>
      </c>
      <c r="H16" s="44" t="s">
        <v>50</v>
      </c>
      <c r="I16" s="32">
        <v>25000</v>
      </c>
    </row>
    <row r="17" spans="1:9" s="13" customFormat="1" ht="32.5" customHeight="1" x14ac:dyDescent="0.35">
      <c r="A17" s="39">
        <v>7</v>
      </c>
      <c r="B17" s="44" t="s">
        <v>56</v>
      </c>
      <c r="C17" s="48">
        <v>46280</v>
      </c>
      <c r="D17" s="44" t="s">
        <v>47</v>
      </c>
      <c r="E17" s="44" t="s">
        <v>57</v>
      </c>
      <c r="F17" s="44" t="s">
        <v>58</v>
      </c>
      <c r="G17" s="44" t="s">
        <v>59</v>
      </c>
      <c r="H17" s="44" t="s">
        <v>60</v>
      </c>
      <c r="I17" s="32">
        <v>100000</v>
      </c>
    </row>
    <row r="18" spans="1:9" s="13" customFormat="1" ht="41" customHeight="1" x14ac:dyDescent="0.35">
      <c r="A18" s="12">
        <v>8</v>
      </c>
      <c r="B18" s="44" t="s">
        <v>61</v>
      </c>
      <c r="C18" s="48">
        <v>46288</v>
      </c>
      <c r="D18" s="44" t="s">
        <v>62</v>
      </c>
      <c r="E18" s="44" t="s">
        <v>63</v>
      </c>
      <c r="F18" s="44" t="s">
        <v>64</v>
      </c>
      <c r="G18" s="44" t="s">
        <v>65</v>
      </c>
      <c r="H18" s="44" t="s">
        <v>45</v>
      </c>
      <c r="I18" s="32">
        <v>30032</v>
      </c>
    </row>
    <row r="19" spans="1:9" s="13" customFormat="1" ht="21.75" customHeight="1" x14ac:dyDescent="0.35">
      <c r="A19" s="12">
        <v>9</v>
      </c>
      <c r="B19" s="44" t="s">
        <v>61</v>
      </c>
      <c r="C19" s="48">
        <v>46289</v>
      </c>
      <c r="D19" s="44" t="s">
        <v>62</v>
      </c>
      <c r="E19" s="44" t="s">
        <v>66</v>
      </c>
      <c r="F19" s="44" t="s">
        <v>67</v>
      </c>
      <c r="G19" s="44" t="s">
        <v>65</v>
      </c>
      <c r="H19" s="44" t="s">
        <v>45</v>
      </c>
      <c r="I19" s="32">
        <v>132126</v>
      </c>
    </row>
    <row r="20" spans="1:9" s="13" customFormat="1" ht="21.75" customHeight="1" x14ac:dyDescent="0.35">
      <c r="A20" s="12">
        <v>10</v>
      </c>
      <c r="B20" s="44" t="s">
        <v>46</v>
      </c>
      <c r="C20" s="48">
        <v>46291</v>
      </c>
      <c r="D20" s="44" t="s">
        <v>68</v>
      </c>
      <c r="E20" s="44" t="s">
        <v>69</v>
      </c>
      <c r="F20" s="44" t="s">
        <v>70</v>
      </c>
      <c r="G20" s="44" t="s">
        <v>71</v>
      </c>
      <c r="H20" s="44" t="s">
        <v>72</v>
      </c>
      <c r="I20" s="32">
        <v>46000</v>
      </c>
    </row>
    <row r="21" spans="1:9" s="13" customFormat="1" ht="28" customHeight="1" x14ac:dyDescent="0.35">
      <c r="A21" s="39">
        <v>11</v>
      </c>
      <c r="B21" s="44" t="s">
        <v>73</v>
      </c>
      <c r="C21" s="48">
        <v>46291</v>
      </c>
      <c r="D21" s="44" t="s">
        <v>47</v>
      </c>
      <c r="E21" s="44" t="s">
        <v>74</v>
      </c>
      <c r="F21" s="44" t="s">
        <v>75</v>
      </c>
      <c r="G21" s="44" t="s">
        <v>76</v>
      </c>
      <c r="H21" s="44" t="s">
        <v>45</v>
      </c>
      <c r="I21" s="32">
        <v>35000.28</v>
      </c>
    </row>
    <row r="22" spans="1:9" s="13" customFormat="1" ht="25.5" customHeight="1" x14ac:dyDescent="0.35">
      <c r="A22" s="12">
        <v>12</v>
      </c>
      <c r="B22" s="36"/>
      <c r="C22" s="49"/>
      <c r="D22" s="34"/>
      <c r="E22" s="36"/>
      <c r="F22" s="36"/>
      <c r="G22" s="35"/>
      <c r="H22" s="33"/>
      <c r="I22" s="32"/>
    </row>
    <row r="23" spans="1:9" s="13" customFormat="1" ht="25.5" customHeight="1" x14ac:dyDescent="0.35">
      <c r="A23" s="12">
        <v>13</v>
      </c>
      <c r="B23" s="36"/>
      <c r="C23" s="49"/>
      <c r="D23" s="34"/>
      <c r="E23" s="36"/>
      <c r="F23" s="36"/>
      <c r="G23" s="35"/>
      <c r="H23" s="33"/>
      <c r="I23" s="32"/>
    </row>
    <row r="24" spans="1:9" s="13" customFormat="1" ht="35" customHeight="1" x14ac:dyDescent="0.35">
      <c r="A24" s="12">
        <v>14</v>
      </c>
      <c r="B24" s="36"/>
      <c r="C24" s="49"/>
      <c r="D24" s="34"/>
      <c r="E24" s="36"/>
      <c r="F24" s="36"/>
      <c r="G24" s="35"/>
      <c r="H24" s="33"/>
      <c r="I24" s="32"/>
    </row>
    <row r="25" spans="1:9" s="13" customFormat="1" ht="35" customHeight="1" x14ac:dyDescent="0.35">
      <c r="A25" s="39"/>
      <c r="B25" s="36"/>
      <c r="C25" s="49"/>
      <c r="D25" s="34"/>
      <c r="E25" s="36"/>
      <c r="F25" s="36"/>
      <c r="G25" s="35"/>
      <c r="H25" s="33"/>
      <c r="I25" s="32"/>
    </row>
    <row r="26" spans="1:9" s="13" customFormat="1" ht="39.5" customHeight="1" x14ac:dyDescent="0.35">
      <c r="A26" s="39">
        <v>16</v>
      </c>
      <c r="B26" s="44"/>
      <c r="C26" s="50"/>
      <c r="D26" s="43"/>
      <c r="E26" s="43"/>
      <c r="F26" s="43"/>
      <c r="G26" s="43"/>
      <c r="H26" s="43"/>
      <c r="I26" s="32"/>
    </row>
    <row r="27" spans="1:9" s="13" customFormat="1" ht="53" customHeight="1" x14ac:dyDescent="0.35">
      <c r="A27" s="12">
        <v>17</v>
      </c>
      <c r="B27" s="36"/>
      <c r="C27" s="49"/>
      <c r="D27" s="34"/>
      <c r="E27" s="36"/>
      <c r="F27" s="36"/>
      <c r="G27" s="35"/>
      <c r="H27" s="33"/>
      <c r="I27" s="32"/>
    </row>
    <row r="28" spans="1:9" s="13" customFormat="1" ht="49.5" customHeight="1" x14ac:dyDescent="0.35">
      <c r="A28" s="12">
        <v>18</v>
      </c>
      <c r="B28" s="36"/>
      <c r="C28" s="49"/>
      <c r="D28" s="34"/>
      <c r="E28" s="36"/>
      <c r="F28" s="36"/>
      <c r="G28" s="35"/>
      <c r="H28" s="33"/>
      <c r="I28" s="32"/>
    </row>
    <row r="29" spans="1:9" s="13" customFormat="1" ht="21.75" customHeight="1" x14ac:dyDescent="0.35">
      <c r="A29" s="12">
        <v>19</v>
      </c>
      <c r="B29" s="36"/>
      <c r="C29" s="49"/>
      <c r="D29" s="34"/>
      <c r="E29" s="36"/>
      <c r="F29" s="36"/>
      <c r="G29" s="35"/>
      <c r="H29" s="33"/>
      <c r="I29" s="32"/>
    </row>
    <row r="30" spans="1:9" s="13" customFormat="1" ht="21.75" customHeight="1" x14ac:dyDescent="0.35">
      <c r="A30" s="39">
        <v>20</v>
      </c>
      <c r="B30" s="36"/>
      <c r="C30" s="49"/>
      <c r="D30" s="34"/>
      <c r="E30" s="36"/>
      <c r="F30" s="36"/>
      <c r="G30" s="35"/>
      <c r="H30" s="33"/>
      <c r="I30" s="32"/>
    </row>
    <row r="31" spans="1:9" s="13" customFormat="1" ht="44" customHeight="1" x14ac:dyDescent="0.35">
      <c r="A31" s="12">
        <v>21</v>
      </c>
      <c r="B31" s="36"/>
      <c r="C31" s="49"/>
      <c r="D31" s="34"/>
      <c r="E31" s="36"/>
      <c r="F31" s="36"/>
      <c r="G31" s="35"/>
      <c r="H31" s="33"/>
      <c r="I31" s="32"/>
    </row>
    <row r="32" spans="1:9" s="13" customFormat="1" ht="21.75" customHeight="1" x14ac:dyDescent="0.35">
      <c r="A32" s="12">
        <v>22</v>
      </c>
      <c r="B32" s="36"/>
      <c r="C32" s="49"/>
      <c r="D32" s="34"/>
      <c r="E32" s="36"/>
      <c r="F32" s="36"/>
      <c r="G32" s="35"/>
      <c r="H32" s="33"/>
      <c r="I32" s="32"/>
    </row>
    <row r="33" spans="1:9" s="13" customFormat="1" ht="21.75" customHeight="1" x14ac:dyDescent="0.35">
      <c r="A33" s="12">
        <v>23</v>
      </c>
      <c r="B33" s="36"/>
      <c r="C33" s="49"/>
      <c r="D33" s="34"/>
      <c r="E33" s="36"/>
      <c r="F33" s="36"/>
      <c r="G33" s="35"/>
      <c r="H33" s="33"/>
      <c r="I33" s="32"/>
    </row>
    <row r="34" spans="1:9" s="13" customFormat="1" ht="21.75" customHeight="1" x14ac:dyDescent="0.35">
      <c r="A34" s="39">
        <v>24</v>
      </c>
      <c r="B34" s="36"/>
      <c r="C34" s="49"/>
      <c r="D34" s="34"/>
      <c r="E34" s="36"/>
      <c r="F34" s="36"/>
      <c r="G34" s="35"/>
      <c r="H34" s="33"/>
      <c r="I34" s="32"/>
    </row>
    <row r="35" spans="1:9" s="13" customFormat="1" ht="21.75" customHeight="1" x14ac:dyDescent="0.35">
      <c r="A35" s="12">
        <v>25</v>
      </c>
      <c r="B35" s="36"/>
      <c r="C35" s="49"/>
      <c r="D35" s="34"/>
      <c r="E35" s="36"/>
      <c r="F35" s="36"/>
      <c r="G35" s="35"/>
      <c r="H35" s="33"/>
      <c r="I35" s="32"/>
    </row>
    <row r="36" spans="1:9" s="13" customFormat="1" ht="21.75" customHeight="1" x14ac:dyDescent="0.35">
      <c r="A36" s="12">
        <v>26</v>
      </c>
      <c r="B36" s="36"/>
      <c r="C36" s="49"/>
      <c r="D36" s="34"/>
      <c r="E36" s="36"/>
      <c r="F36" s="36"/>
      <c r="G36" s="35"/>
      <c r="H36" s="33"/>
      <c r="I36" s="32"/>
    </row>
    <row r="37" spans="1:9" s="13" customFormat="1" ht="21.75" customHeight="1" x14ac:dyDescent="0.35">
      <c r="A37" s="12">
        <v>27</v>
      </c>
      <c r="B37" s="36"/>
      <c r="C37" s="49"/>
      <c r="D37" s="34"/>
      <c r="E37" s="36"/>
      <c r="F37" s="36"/>
      <c r="G37" s="35"/>
      <c r="H37" s="33"/>
      <c r="I37" s="32"/>
    </row>
    <row r="38" spans="1:9" s="13" customFormat="1" ht="21.75" customHeight="1" x14ac:dyDescent="0.35">
      <c r="A38" s="39">
        <v>28</v>
      </c>
      <c r="B38" s="36"/>
      <c r="C38" s="49"/>
      <c r="D38" s="34"/>
      <c r="E38" s="36"/>
      <c r="F38" s="36"/>
      <c r="G38" s="35"/>
      <c r="H38" s="33"/>
      <c r="I38" s="32"/>
    </row>
    <row r="39" spans="1:9" s="13" customFormat="1" ht="21.75" customHeight="1" x14ac:dyDescent="0.35">
      <c r="A39" s="12">
        <v>29</v>
      </c>
      <c r="B39" s="36"/>
      <c r="C39" s="49"/>
      <c r="D39" s="34"/>
      <c r="E39" s="36"/>
      <c r="F39" s="36"/>
      <c r="G39" s="35"/>
      <c r="H39" s="33"/>
      <c r="I39" s="32"/>
    </row>
    <row r="40" spans="1:9" s="13" customFormat="1" ht="21.75" customHeight="1" x14ac:dyDescent="0.35">
      <c r="A40" s="12">
        <v>30</v>
      </c>
      <c r="B40" s="36"/>
      <c r="C40" s="49"/>
      <c r="D40" s="34"/>
      <c r="E40" s="36"/>
      <c r="F40" s="36"/>
      <c r="G40" s="35"/>
      <c r="H40" s="33"/>
      <c r="I40" s="32"/>
    </row>
    <row r="41" spans="1:9" s="13" customFormat="1" ht="21.75" customHeight="1" x14ac:dyDescent="0.35">
      <c r="A41" s="12">
        <v>31</v>
      </c>
      <c r="B41" s="36"/>
      <c r="C41" s="49"/>
      <c r="D41" s="34"/>
      <c r="E41" s="36"/>
      <c r="F41" s="36"/>
      <c r="G41" s="35"/>
      <c r="H41" s="33"/>
      <c r="I41" s="32"/>
    </row>
    <row r="42" spans="1:9" s="13" customFormat="1" ht="21.75" customHeight="1" x14ac:dyDescent="0.35">
      <c r="A42" s="39">
        <v>32</v>
      </c>
      <c r="B42" s="36"/>
      <c r="C42" s="49"/>
      <c r="D42" s="34"/>
      <c r="E42" s="36"/>
      <c r="F42" s="36"/>
      <c r="G42" s="35"/>
      <c r="H42" s="33"/>
      <c r="I42" s="32"/>
    </row>
    <row r="43" spans="1:9" s="13" customFormat="1" ht="21.75" customHeight="1" x14ac:dyDescent="0.35">
      <c r="A43" s="12">
        <v>33</v>
      </c>
      <c r="B43" s="36"/>
      <c r="C43" s="49"/>
      <c r="D43" s="34"/>
      <c r="E43" s="36"/>
      <c r="F43" s="36"/>
      <c r="G43" s="35"/>
      <c r="H43" s="33"/>
      <c r="I43" s="32"/>
    </row>
    <row r="44" spans="1:9" s="13" customFormat="1" ht="21.75" customHeight="1" x14ac:dyDescent="0.35">
      <c r="A44" s="12">
        <v>34</v>
      </c>
      <c r="B44" s="36"/>
      <c r="C44" s="49"/>
      <c r="D44" s="34"/>
      <c r="E44" s="36"/>
      <c r="F44" s="36"/>
      <c r="G44" s="35"/>
      <c r="H44" s="33"/>
      <c r="I44" s="32"/>
    </row>
    <row r="45" spans="1:9" s="13" customFormat="1" ht="21.75" customHeight="1" x14ac:dyDescent="0.35">
      <c r="A45" s="12">
        <v>35</v>
      </c>
      <c r="B45" s="36"/>
      <c r="C45" s="49"/>
      <c r="D45" s="34"/>
      <c r="E45" s="36"/>
      <c r="F45" s="36"/>
      <c r="G45" s="35"/>
      <c r="H45" s="33"/>
      <c r="I45" s="32"/>
    </row>
    <row r="46" spans="1:9" s="13" customFormat="1" ht="21.75" customHeight="1" x14ac:dyDescent="0.35">
      <c r="A46" s="39">
        <v>36</v>
      </c>
      <c r="B46" s="36"/>
      <c r="C46" s="49"/>
      <c r="D46" s="34"/>
      <c r="E46" s="36"/>
      <c r="F46" s="36"/>
      <c r="G46" s="35"/>
      <c r="H46" s="33"/>
      <c r="I46" s="32"/>
    </row>
    <row r="47" spans="1:9" s="13" customFormat="1" ht="21.75" customHeight="1" x14ac:dyDescent="0.35">
      <c r="A47" s="12">
        <v>37</v>
      </c>
      <c r="B47" s="36"/>
      <c r="C47" s="49"/>
      <c r="D47" s="34"/>
      <c r="E47" s="36"/>
      <c r="F47" s="36"/>
      <c r="G47" s="35"/>
      <c r="H47" s="33"/>
      <c r="I47" s="32"/>
    </row>
    <row r="48" spans="1:9" s="13" customFormat="1" ht="21.75" customHeight="1" x14ac:dyDescent="0.35">
      <c r="A48" s="12">
        <v>38</v>
      </c>
      <c r="B48" s="36"/>
      <c r="C48" s="49"/>
      <c r="D48" s="34"/>
      <c r="E48" s="36"/>
      <c r="F48" s="36"/>
      <c r="G48" s="35"/>
      <c r="H48" s="33"/>
      <c r="I48" s="32"/>
    </row>
    <row r="49" spans="1:9" s="46" customFormat="1" ht="19.5" customHeight="1" x14ac:dyDescent="0.35">
      <c r="A49" s="5"/>
      <c r="B49" s="26"/>
      <c r="C49" s="3"/>
      <c r="D49" s="3"/>
      <c r="E49" s="3"/>
      <c r="F49" s="3"/>
      <c r="G49" s="4"/>
      <c r="H49" s="4"/>
      <c r="I49" s="37">
        <f>SUM(I11:I48)</f>
        <v>737858.28</v>
      </c>
    </row>
    <row r="50" spans="1:9" s="46" customFormat="1" ht="20.25" customHeight="1" x14ac:dyDescent="0.35">
      <c r="A50" s="61" t="s">
        <v>17</v>
      </c>
      <c r="B50" s="60"/>
      <c r="C50" s="60"/>
      <c r="D50" s="60"/>
      <c r="E50" s="60"/>
      <c r="F50" s="60"/>
      <c r="G50" s="60"/>
      <c r="H50" s="51"/>
      <c r="I50" s="22">
        <f>0</f>
        <v>0</v>
      </c>
    </row>
    <row r="51" spans="1:9" s="46" customFormat="1" ht="20.25" customHeight="1" x14ac:dyDescent="0.35">
      <c r="A51" s="61" t="s">
        <v>18</v>
      </c>
      <c r="B51" s="60"/>
      <c r="C51" s="60"/>
      <c r="D51" s="60"/>
      <c r="E51" s="60"/>
      <c r="F51" s="60"/>
      <c r="G51" s="60"/>
      <c r="H51" s="51"/>
      <c r="I51" s="22">
        <f>I17</f>
        <v>100000</v>
      </c>
    </row>
    <row r="52" spans="1:9" s="46" customFormat="1" ht="20.25" customHeight="1" x14ac:dyDescent="0.35">
      <c r="A52" s="61" t="s">
        <v>19</v>
      </c>
      <c r="B52" s="60"/>
      <c r="C52" s="60"/>
      <c r="D52" s="60"/>
      <c r="E52" s="60"/>
      <c r="F52" s="60"/>
      <c r="G52" s="60"/>
      <c r="H52" s="51"/>
      <c r="I52" s="22">
        <f>SUM(I12:I16)+I20</f>
        <v>397400</v>
      </c>
    </row>
    <row r="53" spans="1:9" s="46" customFormat="1" ht="20.25" customHeight="1" x14ac:dyDescent="0.35">
      <c r="A53" s="67" t="s">
        <v>20</v>
      </c>
      <c r="B53" s="68"/>
      <c r="C53" s="68"/>
      <c r="D53" s="68"/>
      <c r="E53" s="68"/>
      <c r="F53" s="68"/>
      <c r="G53" s="68"/>
      <c r="H53" s="65"/>
      <c r="I53" s="23">
        <f>I11+I18+I19+I21</f>
        <v>240458.28</v>
      </c>
    </row>
    <row r="54" spans="1:9" s="46" customFormat="1" ht="20.25" customHeight="1" x14ac:dyDescent="0.35">
      <c r="A54" s="87" t="s">
        <v>21</v>
      </c>
      <c r="B54" s="74"/>
      <c r="C54" s="74"/>
      <c r="D54" s="74"/>
      <c r="E54" s="74"/>
      <c r="F54" s="74"/>
      <c r="G54" s="74"/>
      <c r="H54" s="74"/>
      <c r="I54" s="21">
        <f>I50+I51+I52+I53</f>
        <v>737858.28</v>
      </c>
    </row>
    <row r="55" spans="1:9" s="46" customFormat="1" ht="20.25" customHeight="1" x14ac:dyDescent="0.35">
      <c r="A55" s="61" t="s">
        <v>22</v>
      </c>
      <c r="B55" s="60"/>
      <c r="C55" s="60"/>
      <c r="D55" s="60"/>
      <c r="E55" s="60"/>
      <c r="F55" s="60"/>
      <c r="G55" s="60"/>
      <c r="H55" s="51"/>
      <c r="I55" s="22"/>
    </row>
    <row r="56" spans="1:9" s="46" customFormat="1" ht="20.25" customHeight="1" x14ac:dyDescent="0.35">
      <c r="A56" s="61" t="s">
        <v>23</v>
      </c>
      <c r="B56" s="60"/>
      <c r="C56" s="60"/>
      <c r="D56" s="60"/>
      <c r="E56" s="60"/>
      <c r="F56" s="60"/>
      <c r="G56" s="60"/>
      <c r="H56" s="51"/>
      <c r="I56" s="27"/>
    </row>
    <row r="57" spans="1:9" s="46" customFormat="1" ht="20.25" customHeight="1" x14ac:dyDescent="0.35">
      <c r="A57" s="61" t="s">
        <v>24</v>
      </c>
      <c r="B57" s="60"/>
      <c r="C57" s="60"/>
      <c r="D57" s="60"/>
      <c r="E57" s="60"/>
      <c r="F57" s="60"/>
      <c r="G57" s="60"/>
      <c r="H57" s="51"/>
      <c r="I57" s="28"/>
    </row>
    <row r="58" spans="1:9" s="46" customFormat="1" ht="20.25" customHeight="1" x14ac:dyDescent="0.35">
      <c r="A58" s="67" t="s">
        <v>25</v>
      </c>
      <c r="B58" s="68"/>
      <c r="C58" s="68"/>
      <c r="D58" s="68"/>
      <c r="E58" s="68"/>
      <c r="F58" s="68"/>
      <c r="G58" s="68"/>
      <c r="H58" s="65"/>
      <c r="I58" s="29">
        <f>I55-I54</f>
        <v>-737858.28</v>
      </c>
    </row>
    <row r="59" spans="1:9" s="46" customFormat="1" x14ac:dyDescent="0.35">
      <c r="A59" s="81" t="s">
        <v>26</v>
      </c>
      <c r="B59" s="52"/>
      <c r="C59" s="52"/>
      <c r="D59" s="52"/>
      <c r="E59" s="53"/>
      <c r="F59" s="11" t="s">
        <v>27</v>
      </c>
      <c r="G59" s="79" t="s">
        <v>28</v>
      </c>
      <c r="H59" s="80"/>
      <c r="I59" s="40"/>
    </row>
    <row r="60" spans="1:9" s="46" customFormat="1" ht="27" customHeight="1" x14ac:dyDescent="0.35">
      <c r="A60" s="94"/>
      <c r="B60" s="54"/>
      <c r="C60" s="54"/>
      <c r="D60" s="54"/>
      <c r="E60" s="55"/>
      <c r="F60" s="96"/>
      <c r="G60" s="84"/>
      <c r="H60" s="85"/>
      <c r="I60" s="93"/>
    </row>
    <row r="61" spans="1:9" s="46" customFormat="1" ht="33" customHeight="1" x14ac:dyDescent="0.35">
      <c r="A61" s="56"/>
      <c r="B61" s="57"/>
      <c r="C61" s="57"/>
      <c r="D61" s="57"/>
      <c r="E61" s="58"/>
      <c r="F61" s="97"/>
      <c r="G61" s="56"/>
      <c r="H61" s="86"/>
      <c r="I61" s="86"/>
    </row>
  </sheetData>
  <mergeCells count="29">
    <mergeCell ref="A1:C3"/>
    <mergeCell ref="A52:H52"/>
    <mergeCell ref="A6:C6"/>
    <mergeCell ref="F60:F61"/>
    <mergeCell ref="H8:I8"/>
    <mergeCell ref="A7:C7"/>
    <mergeCell ref="D1:H3"/>
    <mergeCell ref="A58:H58"/>
    <mergeCell ref="G60:H61"/>
    <mergeCell ref="A54:H54"/>
    <mergeCell ref="A8:C8"/>
    <mergeCell ref="A4:C4"/>
    <mergeCell ref="E9:F9"/>
    <mergeCell ref="A56:H56"/>
    <mergeCell ref="A50:H50"/>
    <mergeCell ref="E6:F6"/>
    <mergeCell ref="A55:H55"/>
    <mergeCell ref="A57:H57"/>
    <mergeCell ref="H7:I7"/>
    <mergeCell ref="I60:I61"/>
    <mergeCell ref="D4:H4"/>
    <mergeCell ref="A60:E61"/>
    <mergeCell ref="A53:H53"/>
    <mergeCell ref="E7:F7"/>
    <mergeCell ref="G59:H59"/>
    <mergeCell ref="A59:E59"/>
    <mergeCell ref="A51:H51"/>
    <mergeCell ref="E8:F8"/>
    <mergeCell ref="H6:I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S-CON-FO-02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2026-09-28T14:32:55Z</dcterms:modified>
</cp:coreProperties>
</file>